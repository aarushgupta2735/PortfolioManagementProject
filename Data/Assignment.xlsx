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ith RIL" sheetId="1" state="visible" r:id="rId3"/>
    <sheet name="With Indian Oil " sheetId="2" state="visible" r:id="rId4"/>
  </sheets>
  <definedNames/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<sst xmlns="http://schemas.openxmlformats.org/spreadsheetml/2006/main" count="237" uniqueCount="53">
  <si>
    <t xml:space="preserve">Date</t>
  </si>
  <si>
    <t xml:space="preserve"> ⁠Reliance Industries Limited (RIL)</t>
  </si>
  <si>
    <t xml:space="preserve">Tata Consultancy Services (TCS)</t>
  </si>
  <si>
    <t xml:space="preserve">Mahindra &amp; Mahindra Limited</t>
  </si>
  <si>
    <t xml:space="preserve">⁠Nestle India</t>
  </si>
  <si>
    <t xml:space="preserve">⁠Bharti Airtel Limited</t>
  </si>
  <si>
    <t xml:space="preserve">Nickel</t>
  </si>
  <si>
    <t xml:space="preserve">Ripple (XRP)</t>
  </si>
  <si>
    <t xml:space="preserve">RIL_DAILY_RETURN</t>
  </si>
  <si>
    <t xml:space="preserve">TCS RETURN</t>
  </si>
  <si>
    <t xml:space="preserve">M&amp;M_Daily_Return</t>
  </si>
  <si>
    <t xml:space="preserve">Nestle Return</t>
  </si>
  <si>
    <t xml:space="preserve">BAL Return</t>
  </si>
  <si>
    <t xml:space="preserve">Nickel Return</t>
  </si>
  <si>
    <t xml:space="preserve">Ripple Return</t>
  </si>
  <si>
    <t xml:space="preserve">Statistics</t>
  </si>
  <si>
    <t xml:space="preserve">Variance-Covariance Matrix</t>
  </si>
  <si>
    <t xml:space="preserve">Rel</t>
  </si>
  <si>
    <t xml:space="preserve">Tata</t>
  </si>
  <si>
    <t xml:space="preserve">Mahindra</t>
  </si>
  <si>
    <t xml:space="preserve">Nestle</t>
  </si>
  <si>
    <t xml:space="preserve">Bharti</t>
  </si>
  <si>
    <t xml:space="preserve">Ripple</t>
  </si>
  <si>
    <t xml:space="preserve">Covariance Matrix</t>
  </si>
  <si>
    <t xml:space="preserve">Average return</t>
  </si>
  <si>
    <t xml:space="preserve">RIL Stock Split</t>
  </si>
  <si>
    <t xml:space="preserve">Average Variance</t>
  </si>
  <si>
    <t xml:space="preserve">Annual Return</t>
  </si>
  <si>
    <t xml:space="preserve">Annual Variance</t>
  </si>
  <si>
    <t xml:space="preserve">Mah</t>
  </si>
  <si>
    <t xml:space="preserve">Excess Returns</t>
  </si>
  <si>
    <t xml:space="preserve">Risk Free Rate</t>
  </si>
  <si>
    <t xml:space="preserve">%</t>
  </si>
  <si>
    <t xml:space="preserve">Annual Returns</t>
  </si>
  <si>
    <t xml:space="preserve">Equally Weighted Portfolio</t>
  </si>
  <si>
    <t xml:space="preserve">Sum</t>
  </si>
  <si>
    <t xml:space="preserve">Expected Return</t>
  </si>
  <si>
    <t xml:space="preserve">Risk</t>
  </si>
  <si>
    <t xml:space="preserve">Sharpe Ratio</t>
  </si>
  <si>
    <t xml:space="preserve">Optimally-Weighted Portfolio</t>
  </si>
  <si>
    <t xml:space="preserve">Minimum Variance Portfolio</t>
  </si>
  <si>
    <t xml:space="preserve">Weights</t>
  </si>
  <si>
    <t xml:space="preserve">Expected_ret</t>
  </si>
  <si>
    <t xml:space="preserve">Var</t>
  </si>
  <si>
    <t xml:space="preserve">Constraint</t>
  </si>
  <si>
    <t xml:space="preserve">T-Bill</t>
  </si>
  <si>
    <t xml:space="preserve">Min Var Port(M)</t>
  </si>
  <si>
    <t xml:space="preserve">Eff portfolio (E1)</t>
  </si>
  <si>
    <t xml:space="preserve">Eff portfolio (E2)</t>
  </si>
  <si>
    <t xml:space="preserve">Tangency portfolio (short selling allowed)</t>
  </si>
  <si>
    <t xml:space="preserve">Tangency portfolio (short selling not allowed)</t>
  </si>
  <si>
    <t xml:space="preserve">Indian Oil </t>
  </si>
  <si>
    <t xml:space="preserve">Indian Oil Return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</si>
</sst>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yyyy\-mm\-dd"/>
    <numFmt numFmtId="167" formatCode="#,##0.00"/>
    <numFmt numFmtId="168" formatCode="#,##0.000000000000"/>
    <numFmt numFmtId="169" formatCode="General"/>
    <numFmt numFmtId="170" formatCode="0.0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2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1" ySplit="0" topLeftCell="B1" activePane="topRight" state="frozen"/>
      <selection pane="topLeft" activeCell="A1" activeCellId="0" sqref="A1"/>
      <selection pane="topRight" activeCell="E46" activeCellId="0" sqref="E46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13.22"/>
    <col collapsed="false" customWidth="true" hidden="false" outlineLevel="0" max="2" min="2" style="1" width="14.21"/>
    <col collapsed="false" customWidth="true" hidden="false" outlineLevel="0" max="3" min="3" style="1" width="10.66"/>
    <col collapsed="false" customWidth="true" hidden="false" outlineLevel="0" max="4" min="4" style="1" width="9.88"/>
    <col collapsed="false" customWidth="true" hidden="false" outlineLevel="0" max="5" min="5" style="1" width="10"/>
    <col collapsed="false" customWidth="true" hidden="false" outlineLevel="0" max="6" min="6" style="1" width="11.33"/>
    <col collapsed="false" customWidth="true" hidden="false" outlineLevel="0" max="7" min="7" style="1" width="9"/>
    <col collapsed="false" customWidth="true" hidden="false" outlineLevel="0" max="11" min="11" style="1" width="12.11"/>
    <col collapsed="false" customWidth="true" hidden="false" outlineLevel="0" max="13" min="13" style="1" width="14.21"/>
    <col collapsed="false" customWidth="true" hidden="false" outlineLevel="0" max="17" min="17" style="1" width="10.2"/>
    <col collapsed="false" customWidth="true" hidden="false" outlineLevel="0" max="18" min="18" style="1" width="12.56"/>
    <col collapsed="false" customWidth="true" hidden="false" outlineLevel="0" max="22" min="22" style="1" width="16.89"/>
    <col collapsed="false" customWidth="true" hidden="false" outlineLevel="0" max="24" min="23" style="1" width="15.44"/>
    <col collapsed="false" customWidth="true" hidden="false" outlineLevel="0" max="25" min="25" style="1" width="16.56"/>
    <col collapsed="false" customWidth="true" hidden="false" outlineLevel="0" max="26" min="26" style="1" width="15.44"/>
    <col collapsed="false" customWidth="true" hidden="false" outlineLevel="0" max="27" min="27" style="1" width="16.89"/>
    <col collapsed="false" customWidth="true" hidden="false" outlineLevel="0" max="28" min="28" style="1" width="17.56"/>
    <col collapsed="false" customWidth="true" hidden="false" outlineLevel="0" max="31" min="31" style="1" width="12.7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/>
      <c r="J1" s="3"/>
      <c r="K1" s="5" t="s">
        <v>8</v>
      </c>
      <c r="L1" s="2" t="s">
        <v>9</v>
      </c>
      <c r="M1" s="3" t="s">
        <v>10</v>
      </c>
      <c r="N1" s="2" t="s">
        <v>11</v>
      </c>
      <c r="O1" s="2" t="s">
        <v>12</v>
      </c>
      <c r="P1" s="4" t="s">
        <v>13</v>
      </c>
      <c r="Q1" s="3" t="s">
        <v>14</v>
      </c>
      <c r="V1" s="3"/>
      <c r="Y1" s="3"/>
      <c r="AB1" s="3"/>
    </row>
    <row r="2" customFormat="false" ht="15.75" hidden="false" customHeight="false" outlineLevel="0" collapsed="false">
      <c r="A2" s="6"/>
      <c r="G2" s="2"/>
      <c r="V2" s="2" t="s">
        <v>15</v>
      </c>
      <c r="AD2" s="2" t="s">
        <v>16</v>
      </c>
    </row>
    <row r="3" customFormat="false" ht="15.75" hidden="false" customHeight="true" outlineLevel="0" collapsed="false">
      <c r="A3" s="7" t="n">
        <v>45292</v>
      </c>
      <c r="B3" s="8" t="n">
        <v>2589.85</v>
      </c>
      <c r="C3" s="9" t="n">
        <v>3811.1</v>
      </c>
      <c r="D3" s="9" t="n">
        <v>1703.3</v>
      </c>
      <c r="E3" s="10" t="n">
        <v>2737.25</v>
      </c>
      <c r="F3" s="9" t="n">
        <v>1013.05</v>
      </c>
      <c r="G3" s="11" t="n">
        <v>1430</v>
      </c>
      <c r="H3" s="12" t="n">
        <v>0.61355606</v>
      </c>
      <c r="I3" s="12"/>
      <c r="J3" s="12"/>
      <c r="K3" s="8"/>
      <c r="M3" s="10"/>
      <c r="P3" s="13"/>
      <c r="S3" s="9"/>
      <c r="V3" s="14" t="s">
        <v>17</v>
      </c>
      <c r="W3" s="14" t="s">
        <v>18</v>
      </c>
      <c r="X3" s="14" t="s">
        <v>19</v>
      </c>
      <c r="Y3" s="14" t="s">
        <v>20</v>
      </c>
      <c r="Z3" s="14" t="s">
        <v>21</v>
      </c>
      <c r="AA3" s="14" t="s">
        <v>17</v>
      </c>
      <c r="AB3" s="14" t="s">
        <v>22</v>
      </c>
      <c r="AD3" s="14" t="s">
        <v>23</v>
      </c>
      <c r="AE3" s="14"/>
      <c r="AF3" s="14"/>
      <c r="AG3" s="14"/>
      <c r="AH3" s="14"/>
      <c r="AI3" s="14"/>
      <c r="AJ3" s="14"/>
      <c r="AK3" s="14"/>
    </row>
    <row r="4" customFormat="false" ht="15.75" hidden="false" customHeight="true" outlineLevel="0" collapsed="false">
      <c r="A4" s="7" t="n">
        <v>45293</v>
      </c>
      <c r="B4" s="8" t="n">
        <v>2610.9</v>
      </c>
      <c r="C4" s="9" t="n">
        <v>3783.2</v>
      </c>
      <c r="D4" s="9" t="n">
        <v>1656.2</v>
      </c>
      <c r="E4" s="10" t="n">
        <v>2722.3</v>
      </c>
      <c r="F4" s="9" t="n">
        <v>1021.7</v>
      </c>
      <c r="G4" s="11" t="n">
        <v>1427.5</v>
      </c>
      <c r="H4" s="12" t="n">
        <v>0.629683039</v>
      </c>
      <c r="I4" s="12"/>
      <c r="J4" s="12"/>
      <c r="K4" s="8" t="n">
        <f aca="false">((B4-B3)/B3)*100</f>
        <v>0.812788385427735</v>
      </c>
      <c r="L4" s="8" t="n">
        <f aca="false">((C4-C3)/C3)*100</f>
        <v>-0.73207210516649</v>
      </c>
      <c r="M4" s="8" t="n">
        <f aca="false">((D4-D3)/D3)*100</f>
        <v>-2.76522045441202</v>
      </c>
      <c r="N4" s="8" t="n">
        <f aca="false">((E4-E3)/E3)*100</f>
        <v>-0.546168599872128</v>
      </c>
      <c r="O4" s="8" t="n">
        <f aca="false">((F4-F3)/F3)*100</f>
        <v>0.853857164009683</v>
      </c>
      <c r="P4" s="8" t="n">
        <f aca="false">((G4-G3)/G3)*100</f>
        <v>-0.174825174825175</v>
      </c>
      <c r="Q4" s="8" t="n">
        <f aca="false">((H4-H3)/H3)*100</f>
        <v>2.62844425332545</v>
      </c>
      <c r="S4" s="9"/>
      <c r="U4" s="2" t="s">
        <v>24</v>
      </c>
      <c r="V4" s="15" t="n">
        <f aca="false">AVERAGE(K4:K251)</f>
        <v>-0.0153764159537845</v>
      </c>
      <c r="W4" s="15" t="n">
        <f aca="false">AVERAGE(L4:L251)</f>
        <v>0.0376193007535395</v>
      </c>
      <c r="X4" s="15" t="n">
        <f aca="false">AVERAGE(M4:M251)</f>
        <v>0.248773609789107</v>
      </c>
      <c r="Y4" s="15" t="n">
        <f aca="false">AVERAGE(N4:N251)</f>
        <v>-0.0864962744983088</v>
      </c>
      <c r="Z4" s="15" t="n">
        <f aca="false">AVERAGE(O4:O251)</f>
        <v>0.192021829756698</v>
      </c>
      <c r="AA4" s="15" t="n">
        <f aca="false">AVERAGE(P4:P251)</f>
        <v>-0.0195404873572167</v>
      </c>
      <c r="AB4" s="15" t="n">
        <f aca="false">AVERAGE(Q4:Q251)</f>
        <v>0.679257716403149</v>
      </c>
      <c r="AD4" s="14"/>
      <c r="AE4" s="14" t="s">
        <v>17</v>
      </c>
      <c r="AF4" s="14" t="s">
        <v>18</v>
      </c>
      <c r="AG4" s="14" t="s">
        <v>19</v>
      </c>
      <c r="AH4" s="14" t="s">
        <v>20</v>
      </c>
      <c r="AI4" s="14" t="s">
        <v>21</v>
      </c>
      <c r="AJ4" s="14" t="s">
        <v>17</v>
      </c>
      <c r="AK4" s="14" t="s">
        <v>22</v>
      </c>
    </row>
    <row r="5" customFormat="false" ht="15.75" hidden="false" customHeight="true" outlineLevel="0" collapsed="false">
      <c r="A5" s="7" t="n">
        <v>45294</v>
      </c>
      <c r="B5" s="8" t="n">
        <v>2582.95</v>
      </c>
      <c r="C5" s="9" t="n">
        <v>3691.75</v>
      </c>
      <c r="D5" s="9" t="n">
        <v>1655.25</v>
      </c>
      <c r="E5" s="10" t="n">
        <v>2663.5</v>
      </c>
      <c r="F5" s="9" t="n">
        <v>1035.2</v>
      </c>
      <c r="G5" s="11" t="n">
        <v>1427.5</v>
      </c>
      <c r="H5" s="12" t="n">
        <v>0.627885794</v>
      </c>
      <c r="I5" s="12"/>
      <c r="J5" s="12"/>
      <c r="K5" s="8" t="n">
        <f aca="false">((B5-B4)/B4)*100</f>
        <v>-1.07051208395573</v>
      </c>
      <c r="L5" s="8" t="n">
        <f aca="false">((C5-C4)/C4)*100</f>
        <v>-2.41726580672446</v>
      </c>
      <c r="M5" s="8" t="n">
        <f aca="false">((D5-D4)/D4)*100</f>
        <v>-0.0573602221953898</v>
      </c>
      <c r="N5" s="8" t="n">
        <f aca="false">((E5-E4)/E4)*100</f>
        <v>-2.15993828747751</v>
      </c>
      <c r="O5" s="8" t="n">
        <f aca="false">((F5-F4)/F4)*100</f>
        <v>1.3213271997651</v>
      </c>
      <c r="P5" s="8" t="n">
        <f aca="false">((G5-G4)/G4)*100</f>
        <v>0</v>
      </c>
      <c r="Q5" s="8" t="n">
        <f aca="false">((H5-H4)/H4)*100</f>
        <v>-0.285420582846603</v>
      </c>
      <c r="S5" s="9" t="s">
        <v>25</v>
      </c>
      <c r="U5" s="2" t="s">
        <v>26</v>
      </c>
      <c r="V5" s="15" t="n">
        <f aca="false">VAR(K4:K251)</f>
        <v>2.0397098559305</v>
      </c>
      <c r="W5" s="15" t="n">
        <f aca="false">VAR(L4:L251)</f>
        <v>1.75038563656426</v>
      </c>
      <c r="X5" s="15" t="n">
        <f aca="false">VAR(M4:M251)</f>
        <v>3.89759773651262</v>
      </c>
      <c r="Y5" s="15" t="n">
        <f aca="false">VAR(N4:N251)</f>
        <v>1.41978890206463</v>
      </c>
      <c r="Z5" s="15" t="n">
        <f aca="false">VAR(O4:O251)</f>
        <v>2.1486475250213</v>
      </c>
      <c r="AA5" s="15" t="n">
        <f aca="false">VAR(P4:P251)</f>
        <v>1.24469054266428</v>
      </c>
      <c r="AB5" s="15" t="n">
        <f aca="false">VAR(Q4:Q251)</f>
        <v>43.8224343778993</v>
      </c>
      <c r="AD5" s="14" t="s">
        <v>17</v>
      </c>
      <c r="AE5" s="16" t="n">
        <f aca="false" t="array" ref="AE5:AK11">MMULT(TRANSPOSE(V10:AB258),V10:AB258)*252/247</f>
        <v>514.007124914771</v>
      </c>
      <c r="AF5" s="14" t="n">
        <v>122.889804624967</v>
      </c>
      <c r="AG5" s="14" t="n">
        <v>236.856784158813</v>
      </c>
      <c r="AH5" s="14" t="n">
        <v>83.1179793354733</v>
      </c>
      <c r="AI5" s="14" t="n">
        <v>198.877306379064</v>
      </c>
      <c r="AJ5" s="14" t="n">
        <v>12.3595832650171</v>
      </c>
      <c r="AK5" s="14" t="n">
        <v>68.8958690038826</v>
      </c>
    </row>
    <row r="6" customFormat="false" ht="15.75" hidden="false" customHeight="true" outlineLevel="0" collapsed="false">
      <c r="A6" s="7" t="n">
        <v>45295</v>
      </c>
      <c r="B6" s="8" t="n">
        <v>2597.4</v>
      </c>
      <c r="C6" s="9" t="n">
        <v>3666.8</v>
      </c>
      <c r="D6" s="9" t="n">
        <v>1641.7</v>
      </c>
      <c r="E6" s="10" t="n">
        <v>2711.65</v>
      </c>
      <c r="F6" s="9" t="n">
        <v>1047.9</v>
      </c>
      <c r="G6" s="11" t="n">
        <v>1432.5</v>
      </c>
      <c r="H6" s="12" t="n">
        <v>0.58242436</v>
      </c>
      <c r="I6" s="12"/>
      <c r="J6" s="12"/>
      <c r="K6" s="8" t="n">
        <f aca="false">((B6-B5)/B5)*100</f>
        <v>0.559437852068382</v>
      </c>
      <c r="L6" s="8" t="n">
        <f aca="false">((C6-C5)/C5)*100</f>
        <v>-0.675831245344344</v>
      </c>
      <c r="M6" s="8" t="n">
        <f aca="false">((D6-D5)/D5)*100</f>
        <v>-0.818607461108591</v>
      </c>
      <c r="N6" s="8" t="n">
        <f aca="false">((E6-E5)/E5)*100</f>
        <v>1.80777172892811</v>
      </c>
      <c r="O6" s="8" t="n">
        <f aca="false">((F6-F5)/F5)*100</f>
        <v>1.22681607418857</v>
      </c>
      <c r="P6" s="8" t="n">
        <f aca="false">((G6-G5)/G5)*100</f>
        <v>0.350262697022767</v>
      </c>
      <c r="Q6" s="8" t="n">
        <f aca="false">((H6-H5)/H5)*100</f>
        <v>-7.24039856203532</v>
      </c>
      <c r="S6" s="9"/>
      <c r="U6" s="2" t="s">
        <v>27</v>
      </c>
      <c r="V6" s="9" t="n">
        <f aca="false">V4*365</f>
        <v>-5.61239182313134</v>
      </c>
      <c r="W6" s="9" t="n">
        <f aca="false">W4*365</f>
        <v>13.7310447750419</v>
      </c>
      <c r="X6" s="9" t="n">
        <f aca="false">X4*365</f>
        <v>90.8023675730242</v>
      </c>
      <c r="Y6" s="9" t="n">
        <f aca="false">Y4*365</f>
        <v>-31.5711401918827</v>
      </c>
      <c r="Z6" s="9" t="n">
        <f aca="false">Z4*365</f>
        <v>70.0879678611947</v>
      </c>
      <c r="AA6" s="9" t="n">
        <f aca="false">AA4*365</f>
        <v>-7.1322778853841</v>
      </c>
      <c r="AB6" s="9" t="n">
        <f aca="false">AB4*365</f>
        <v>247.929066487149</v>
      </c>
      <c r="AD6" s="14" t="s">
        <v>18</v>
      </c>
      <c r="AE6" s="14" t="n">
        <v>122.889804624967</v>
      </c>
      <c r="AF6" s="16" t="n">
        <v>441.098624273994</v>
      </c>
      <c r="AG6" s="14" t="n">
        <v>140.253881335097</v>
      </c>
      <c r="AH6" s="14" t="n">
        <v>62.4299363915852</v>
      </c>
      <c r="AI6" s="14" t="n">
        <v>113.815169266538</v>
      </c>
      <c r="AJ6" s="14" t="n">
        <v>-5.62398315170554</v>
      </c>
      <c r="AK6" s="14" t="n">
        <v>83.9255090111846</v>
      </c>
    </row>
    <row r="7" customFormat="false" ht="15.75" hidden="false" customHeight="true" outlineLevel="0" collapsed="false">
      <c r="A7" s="7" t="n">
        <v>45296</v>
      </c>
      <c r="B7" s="8" t="n">
        <v>2606.75</v>
      </c>
      <c r="C7" s="9" t="n">
        <v>3737.9</v>
      </c>
      <c r="D7" s="9" t="n">
        <v>1642</v>
      </c>
      <c r="E7" s="8" t="n">
        <v>2666.4</v>
      </c>
      <c r="F7" s="9" t="n">
        <v>1046.6</v>
      </c>
      <c r="G7" s="11" t="n">
        <v>1401.25</v>
      </c>
      <c r="H7" s="12" t="n">
        <v>0.587226239</v>
      </c>
      <c r="I7" s="12"/>
      <c r="J7" s="12"/>
      <c r="K7" s="8" t="n">
        <f aca="false">((B7-B6)/B6)*100</f>
        <v>0.359975359975356</v>
      </c>
      <c r="L7" s="8" t="n">
        <f aca="false">((C7-C6)/C6)*100</f>
        <v>1.93902039925821</v>
      </c>
      <c r="M7" s="8" t="n">
        <f aca="false">((D7-D6)/D6)*100</f>
        <v>0.0182737406347052</v>
      </c>
      <c r="N7" s="8" t="n">
        <f aca="false">((E7-E6)/E6)*100</f>
        <v>-1.66872568362436</v>
      </c>
      <c r="O7" s="8" t="n">
        <f aca="false">((F7-F6)/F6)*100</f>
        <v>-0.124057639087717</v>
      </c>
      <c r="P7" s="8" t="n">
        <f aca="false">((G7-G6)/G6)*100</f>
        <v>-2.18150087260035</v>
      </c>
      <c r="Q7" s="8" t="n">
        <f aca="false">((H7-H6)/H6)*100</f>
        <v>0.824463969879293</v>
      </c>
      <c r="S7" s="8" t="n">
        <v>1338.95</v>
      </c>
      <c r="U7" s="2" t="s">
        <v>28</v>
      </c>
      <c r="V7" s="9" t="n">
        <f aca="false">V5*252</f>
        <v>514.006883694487</v>
      </c>
      <c r="W7" s="9" t="n">
        <f aca="false">W5*252</f>
        <v>441.097180414193</v>
      </c>
      <c r="X7" s="9" t="n">
        <f aca="false">X5*252</f>
        <v>982.194629601181</v>
      </c>
      <c r="Y7" s="9" t="n">
        <f aca="false">Y5*252</f>
        <v>357.786803320286</v>
      </c>
      <c r="Z7" s="9" t="n">
        <f aca="false">Z5*252</f>
        <v>541.459176305368</v>
      </c>
      <c r="AA7" s="9" t="n">
        <f aca="false">AA5*252</f>
        <v>313.662016751398</v>
      </c>
      <c r="AB7" s="9" t="n">
        <f aca="false">AB5*252</f>
        <v>11043.2534632306</v>
      </c>
      <c r="AD7" s="14" t="s">
        <v>29</v>
      </c>
      <c r="AE7" s="14" t="n">
        <v>236.856784158813</v>
      </c>
      <c r="AF7" s="14" t="n">
        <v>140.253881335097</v>
      </c>
      <c r="AG7" s="16" t="n">
        <v>982.257770709884</v>
      </c>
      <c r="AH7" s="14" t="n">
        <v>147.088519803874</v>
      </c>
      <c r="AI7" s="14" t="n">
        <v>211.232567600503</v>
      </c>
      <c r="AJ7" s="14" t="n">
        <v>47.4921303004031</v>
      </c>
      <c r="AK7" s="14" t="n">
        <v>213.529172199307</v>
      </c>
    </row>
    <row r="8" customFormat="false" ht="15.75" hidden="false" customHeight="true" outlineLevel="0" collapsed="false">
      <c r="A8" s="7" t="n">
        <v>45299</v>
      </c>
      <c r="B8" s="8" t="n">
        <v>2586.1</v>
      </c>
      <c r="C8" s="9" t="n">
        <v>3678.3</v>
      </c>
      <c r="D8" s="9" t="n">
        <v>1616.15</v>
      </c>
      <c r="E8" s="8" t="n">
        <v>2619.3</v>
      </c>
      <c r="F8" s="9" t="n">
        <v>1049.05</v>
      </c>
      <c r="G8" s="11" t="n">
        <v>1396.65</v>
      </c>
      <c r="H8" s="12" t="n">
        <v>0.551803968</v>
      </c>
      <c r="I8" s="12"/>
      <c r="J8" s="12"/>
      <c r="K8" s="8" t="n">
        <f aca="false">((B8-B7)/B7)*100</f>
        <v>-0.792174163230079</v>
      </c>
      <c r="L8" s="8" t="n">
        <f aca="false">((C8-C7)/C7)*100</f>
        <v>-1.59447818293694</v>
      </c>
      <c r="M8" s="8" t="n">
        <f aca="false">((D8-D7)/D7)*100</f>
        <v>-1.57429963459196</v>
      </c>
      <c r="N8" s="8" t="n">
        <f aca="false">((E8-E7)/E7)*100</f>
        <v>-1.76642664266426</v>
      </c>
      <c r="O8" s="8" t="n">
        <f aca="false">((F8-F7)/F7)*100</f>
        <v>0.234091343397673</v>
      </c>
      <c r="P8" s="8" t="n">
        <f aca="false">((G8-G7)/G7)*100</f>
        <v>-0.328278322925952</v>
      </c>
      <c r="Q8" s="8" t="n">
        <f aca="false">((H8-H7)/H7)*100</f>
        <v>-6.03213355389592</v>
      </c>
      <c r="S8" s="8" t="n">
        <v>1343.95</v>
      </c>
      <c r="V8" s="9" t="s">
        <v>30</v>
      </c>
      <c r="Y8" s="8"/>
      <c r="AB8" s="9"/>
      <c r="AD8" s="14" t="s">
        <v>20</v>
      </c>
      <c r="AE8" s="14" t="n">
        <v>83.1179793354733</v>
      </c>
      <c r="AF8" s="14" t="n">
        <v>62.4299363915852</v>
      </c>
      <c r="AG8" s="14" t="n">
        <v>147.088519803874</v>
      </c>
      <c r="AH8" s="16" t="n">
        <v>357.794436375292</v>
      </c>
      <c r="AI8" s="14" t="n">
        <v>53.7677406995053</v>
      </c>
      <c r="AJ8" s="14" t="n">
        <v>0.354945671117324</v>
      </c>
      <c r="AK8" s="14" t="n">
        <v>43.377633012189</v>
      </c>
    </row>
    <row r="9" customFormat="false" ht="15.75" hidden="false" customHeight="true" outlineLevel="0" collapsed="false">
      <c r="A9" s="7" t="n">
        <v>45300</v>
      </c>
      <c r="B9" s="8" t="n">
        <v>2580.6</v>
      </c>
      <c r="C9" s="9" t="n">
        <v>3689.9</v>
      </c>
      <c r="D9" s="9" t="n">
        <v>1629.9</v>
      </c>
      <c r="E9" s="8" t="n">
        <v>2592.6</v>
      </c>
      <c r="F9" s="9" t="n">
        <v>1064.5</v>
      </c>
      <c r="G9" s="11" t="n">
        <v>1400</v>
      </c>
      <c r="H9" s="12" t="n">
        <v>0.577396001</v>
      </c>
      <c r="I9" s="12"/>
      <c r="J9" s="12"/>
      <c r="K9" s="8" t="n">
        <f aca="false">((B9-B8)/B8)*100</f>
        <v>-0.212675457252233</v>
      </c>
      <c r="L9" s="8" t="n">
        <f aca="false">((C9-C8)/C8)*100</f>
        <v>0.315363075333711</v>
      </c>
      <c r="M9" s="8" t="n">
        <f aca="false">((D9-D8)/D8)*100</f>
        <v>0.850787365034186</v>
      </c>
      <c r="N9" s="8" t="n">
        <f aca="false">((E9-E8)/E8)*100</f>
        <v>-1.01935631657314</v>
      </c>
      <c r="O9" s="8" t="n">
        <f aca="false">((F9-F8)/F8)*100</f>
        <v>1.47276106953911</v>
      </c>
      <c r="P9" s="8" t="n">
        <f aca="false">((G9-G8)/G8)*100</f>
        <v>0.239859664196464</v>
      </c>
      <c r="Q9" s="8" t="n">
        <f aca="false">((H9-H8)/H8)*100</f>
        <v>4.63788491640568</v>
      </c>
      <c r="S9" s="8" t="n">
        <v>1332.6</v>
      </c>
      <c r="V9" s="14" t="s">
        <v>17</v>
      </c>
      <c r="W9" s="14" t="s">
        <v>18</v>
      </c>
      <c r="X9" s="14" t="s">
        <v>19</v>
      </c>
      <c r="Y9" s="14" t="s">
        <v>20</v>
      </c>
      <c r="Z9" s="14" t="s">
        <v>21</v>
      </c>
      <c r="AA9" s="14" t="s">
        <v>17</v>
      </c>
      <c r="AB9" s="14" t="s">
        <v>22</v>
      </c>
      <c r="AD9" s="14" t="s">
        <v>21</v>
      </c>
      <c r="AE9" s="14" t="n">
        <v>198.877306379064</v>
      </c>
      <c r="AF9" s="14" t="n">
        <v>113.815169266538</v>
      </c>
      <c r="AG9" s="14" t="n">
        <v>211.232567600503</v>
      </c>
      <c r="AH9" s="14" t="n">
        <v>53.7677406995053</v>
      </c>
      <c r="AI9" s="16" t="n">
        <v>541.496795092988</v>
      </c>
      <c r="AJ9" s="14" t="n">
        <v>37.5491287689836</v>
      </c>
      <c r="AK9" s="14" t="n">
        <v>79.0135608203778</v>
      </c>
    </row>
    <row r="10" customFormat="false" ht="15.75" hidden="false" customHeight="true" outlineLevel="0" collapsed="false">
      <c r="A10" s="7" t="n">
        <v>45301</v>
      </c>
      <c r="B10" s="8" t="n">
        <v>2649.95</v>
      </c>
      <c r="C10" s="9" t="n">
        <v>3713.05</v>
      </c>
      <c r="D10" s="9" t="n">
        <v>1632.8</v>
      </c>
      <c r="E10" s="8" t="n">
        <v>2578.1</v>
      </c>
      <c r="F10" s="9" t="n">
        <v>1062.7</v>
      </c>
      <c r="G10" s="11" t="n">
        <v>1390</v>
      </c>
      <c r="H10" s="12" t="n">
        <v>0.566417707</v>
      </c>
      <c r="I10" s="12"/>
      <c r="J10" s="12"/>
      <c r="K10" s="8" t="n">
        <f aca="false">((B10-B9)/B9)*100</f>
        <v>2.68735952879175</v>
      </c>
      <c r="L10" s="8" t="n">
        <f aca="false">((C10-C9)/C9)*100</f>
        <v>0.627388276105046</v>
      </c>
      <c r="M10" s="8" t="n">
        <f aca="false">((D10-D9)/D9)*100</f>
        <v>0.177925026075211</v>
      </c>
      <c r="N10" s="8" t="n">
        <f aca="false">((E10-E9)/E9)*100</f>
        <v>-0.559284116331096</v>
      </c>
      <c r="O10" s="8" t="n">
        <f aca="false">((F10-F9)/F9)*100</f>
        <v>-0.169093471113194</v>
      </c>
      <c r="P10" s="8" t="n">
        <f aca="false">((G10-G9)/G9)*100</f>
        <v>-0.714285714285714</v>
      </c>
      <c r="Q10" s="8" t="n">
        <f aca="false">((H10-H9)/H9)*100</f>
        <v>-1.90134569359443</v>
      </c>
      <c r="S10" s="8" t="n">
        <v>1339.1</v>
      </c>
      <c r="V10" s="9" t="n">
        <f aca="false">K4-$V$4</f>
        <v>0.828164801381519</v>
      </c>
      <c r="W10" s="9" t="n">
        <f aca="false">L4-$W$4</f>
        <v>-0.769691405920029</v>
      </c>
      <c r="X10" s="9" t="n">
        <f aca="false">M4-$X$4</f>
        <v>-3.01399406420113</v>
      </c>
      <c r="Y10" s="9" t="n">
        <f aca="false">N4-$Y$4</f>
        <v>-0.459672325373819</v>
      </c>
      <c r="Z10" s="9" t="n">
        <f aca="false">O4-$Z$4</f>
        <v>0.661835334252985</v>
      </c>
      <c r="AA10" s="9" t="n">
        <f aca="false">P4-$AA$4</f>
        <v>-0.155284687467958</v>
      </c>
      <c r="AB10" s="9" t="n">
        <f aca="false">Q4-$AB$4</f>
        <v>1.9491865369223</v>
      </c>
      <c r="AD10" s="14" t="s">
        <v>6</v>
      </c>
      <c r="AE10" s="14" t="n">
        <v>12.3595832650171</v>
      </c>
      <c r="AF10" s="14" t="n">
        <v>-5.62398315170554</v>
      </c>
      <c r="AG10" s="14" t="n">
        <v>47.4921303004031</v>
      </c>
      <c r="AH10" s="14" t="n">
        <v>0.354945671117324</v>
      </c>
      <c r="AI10" s="14" t="n">
        <v>37.5491287689836</v>
      </c>
      <c r="AJ10" s="16" t="n">
        <v>313.66240631141</v>
      </c>
      <c r="AK10" s="14" t="n">
        <v>-140.075631119033</v>
      </c>
    </row>
    <row r="11" customFormat="false" ht="15.75" hidden="false" customHeight="true" outlineLevel="0" collapsed="false">
      <c r="A11" s="7" t="n">
        <v>45302</v>
      </c>
      <c r="B11" s="8" t="n">
        <v>2718.4</v>
      </c>
      <c r="C11" s="9" t="n">
        <v>3735.55</v>
      </c>
      <c r="D11" s="9" t="n">
        <v>1628.65</v>
      </c>
      <c r="E11" s="8" t="n">
        <v>2557.2</v>
      </c>
      <c r="F11" s="9" t="n">
        <v>1062.85</v>
      </c>
      <c r="G11" s="11" t="n">
        <v>1415</v>
      </c>
      <c r="H11" s="12" t="n">
        <v>0.600349992</v>
      </c>
      <c r="I11" s="12"/>
      <c r="J11" s="12"/>
      <c r="K11" s="8" t="n">
        <f aca="false">((B11-B10)/B10)*100</f>
        <v>2.58306760504916</v>
      </c>
      <c r="L11" s="8" t="n">
        <f aca="false">((C11-C10)/C10)*100</f>
        <v>0.605970832603924</v>
      </c>
      <c r="M11" s="8" t="n">
        <f aca="false">((D11-D10)/D10)*100</f>
        <v>-0.254164625183725</v>
      </c>
      <c r="N11" s="8" t="n">
        <f aca="false">((E11-E10)/E10)*100</f>
        <v>-0.810674527753</v>
      </c>
      <c r="O11" s="8" t="n">
        <f aca="false">((F11-F10)/F10)*100</f>
        <v>0.0141149901194941</v>
      </c>
      <c r="P11" s="8" t="n">
        <f aca="false">((G11-G10)/G10)*100</f>
        <v>1.79856115107914</v>
      </c>
      <c r="Q11" s="8" t="n">
        <f aca="false">((H11-H10)/H10)*100</f>
        <v>5.99068224397865</v>
      </c>
      <c r="S11" s="8" t="n">
        <f aca="false">1302</f>
        <v>1302</v>
      </c>
      <c r="V11" s="9" t="n">
        <f aca="false">K5-$V$4</f>
        <v>-1.05513566800195</v>
      </c>
      <c r="W11" s="9" t="n">
        <f aca="false">L5-$W$4</f>
        <v>-2.454885107478</v>
      </c>
      <c r="X11" s="9" t="n">
        <f aca="false">M5-$X$4</f>
        <v>-0.306133831984497</v>
      </c>
      <c r="Y11" s="9" t="n">
        <f aca="false">N5-$Y$4</f>
        <v>-2.0734420129792</v>
      </c>
      <c r="Z11" s="9" t="n">
        <f aca="false">O5-$Z$4</f>
        <v>1.1293053700084</v>
      </c>
      <c r="AA11" s="9" t="n">
        <f aca="false">P5-$AA$4</f>
        <v>0.0195404873572167</v>
      </c>
      <c r="AB11" s="9" t="n">
        <f aca="false">Q5-$AB$4</f>
        <v>-0.964678299249752</v>
      </c>
      <c r="AD11" s="14" t="s">
        <v>22</v>
      </c>
      <c r="AE11" s="14" t="n">
        <v>68.8958690038826</v>
      </c>
      <c r="AF11" s="14" t="n">
        <v>83.9255090111846</v>
      </c>
      <c r="AG11" s="14" t="n">
        <v>213.529172199307</v>
      </c>
      <c r="AH11" s="14" t="n">
        <v>43.377633012189</v>
      </c>
      <c r="AI11" s="14" t="n">
        <v>79.0135608203778</v>
      </c>
      <c r="AJ11" s="14" t="n">
        <v>-140.075631119033</v>
      </c>
      <c r="AK11" s="16" t="n">
        <v>11043.7241941756</v>
      </c>
    </row>
    <row r="12" customFormat="false" ht="15.75" hidden="false" customHeight="true" outlineLevel="0" collapsed="false">
      <c r="A12" s="7" t="n">
        <v>45303</v>
      </c>
      <c r="B12" s="8" t="n">
        <v>2740.1</v>
      </c>
      <c r="C12" s="9" t="n">
        <v>3882.8</v>
      </c>
      <c r="D12" s="9" t="n">
        <v>1624.45</v>
      </c>
      <c r="E12" s="8" t="n">
        <v>2549.6</v>
      </c>
      <c r="F12" s="9" t="n">
        <v>1076.35</v>
      </c>
      <c r="G12" s="11" t="n">
        <v>1393.35</v>
      </c>
      <c r="H12" s="12" t="n">
        <v>0.60148264</v>
      </c>
      <c r="I12" s="12"/>
      <c r="J12" s="12"/>
      <c r="K12" s="8" t="n">
        <f aca="false">((B12-B11)/B11)*100</f>
        <v>0.798263684520299</v>
      </c>
      <c r="L12" s="8" t="n">
        <f aca="false">((C12-C11)/C11)*100</f>
        <v>3.94185595160017</v>
      </c>
      <c r="M12" s="8" t="n">
        <f aca="false">((D12-D11)/D11)*100</f>
        <v>-0.25788229515243</v>
      </c>
      <c r="N12" s="8" t="n">
        <f aca="false">((E12-E11)/E11)*100</f>
        <v>-0.297200062568431</v>
      </c>
      <c r="O12" s="8" t="n">
        <f aca="false">((F12-F11)/F11)*100</f>
        <v>1.27016982641012</v>
      </c>
      <c r="P12" s="8" t="n">
        <f aca="false">((G12-G11)/G11)*100</f>
        <v>-1.53003533568905</v>
      </c>
      <c r="Q12" s="8" t="n">
        <f aca="false">((H12-H11)/H11)*100</f>
        <v>0.188664614823532</v>
      </c>
      <c r="S12" s="8" t="n">
        <v>1305.95</v>
      </c>
      <c r="V12" s="9" t="n">
        <f aca="false">K6-$V$4</f>
        <v>0.574814268022167</v>
      </c>
      <c r="W12" s="9" t="n">
        <f aca="false">L6-$W$4</f>
        <v>-0.713450546097884</v>
      </c>
      <c r="X12" s="9" t="n">
        <f aca="false">M6-$X$4</f>
        <v>-1.0673810708977</v>
      </c>
      <c r="Y12" s="9" t="n">
        <f aca="false">N6-$Y$4</f>
        <v>1.89426800342641</v>
      </c>
      <c r="Z12" s="9" t="n">
        <f aca="false">O6-$Z$4</f>
        <v>1.03479424443187</v>
      </c>
      <c r="AA12" s="9" t="n">
        <f aca="false">P6-$AA$4</f>
        <v>0.369803184379984</v>
      </c>
      <c r="AB12" s="9" t="n">
        <f aca="false">Q6-$AB$4</f>
        <v>-7.91965627843846</v>
      </c>
    </row>
    <row r="13" customFormat="false" ht="15.75" hidden="false" customHeight="true" outlineLevel="0" collapsed="false">
      <c r="A13" s="7" t="n">
        <v>45306</v>
      </c>
      <c r="B13" s="8" t="n">
        <v>2787.5</v>
      </c>
      <c r="C13" s="9" t="n">
        <v>3903.8</v>
      </c>
      <c r="D13" s="9" t="n">
        <v>1635.55</v>
      </c>
      <c r="E13" s="8" t="n">
        <v>2547.55</v>
      </c>
      <c r="F13" s="9" t="n">
        <v>1102.4</v>
      </c>
      <c r="G13" s="11" t="n">
        <v>1390</v>
      </c>
      <c r="H13" s="12" t="n">
        <v>0.575712099</v>
      </c>
      <c r="I13" s="12"/>
      <c r="J13" s="12"/>
      <c r="K13" s="8" t="n">
        <f aca="false">((B13-B12)/B12)*100</f>
        <v>1.72986387358126</v>
      </c>
      <c r="L13" s="8" t="n">
        <f aca="false">((C13-C12)/C12)*100</f>
        <v>0.540846811579273</v>
      </c>
      <c r="M13" s="8" t="n">
        <f aca="false">((D13-D12)/D12)*100</f>
        <v>0.683308196620389</v>
      </c>
      <c r="N13" s="8" t="n">
        <f aca="false">((E13-E12)/E12)*100</f>
        <v>-0.0804047693755776</v>
      </c>
      <c r="O13" s="8" t="n">
        <f aca="false">((F13-F12)/F12)*100</f>
        <v>2.42021647233708</v>
      </c>
      <c r="P13" s="8" t="n">
        <f aca="false">((G13-G12)/G12)*100</f>
        <v>-0.240427746079586</v>
      </c>
      <c r="Q13" s="8" t="n">
        <f aca="false">((H13-H12)/H12)*100</f>
        <v>-4.28450287443042</v>
      </c>
      <c r="S13" s="8" t="n">
        <v>1325.55</v>
      </c>
      <c r="V13" s="9" t="n">
        <f aca="false">K7-$V$4</f>
        <v>0.375351775929141</v>
      </c>
      <c r="W13" s="9" t="n">
        <f aca="false">L7-$W$4</f>
        <v>1.90140109850467</v>
      </c>
      <c r="X13" s="9" t="n">
        <f aca="false">M7-$X$4</f>
        <v>-0.230499869154402</v>
      </c>
      <c r="Y13" s="9" t="n">
        <f aca="false">N7-$Y$4</f>
        <v>-1.58222940912605</v>
      </c>
      <c r="Z13" s="9" t="n">
        <f aca="false">O7-$Z$4</f>
        <v>-0.316079468844414</v>
      </c>
      <c r="AA13" s="9" t="n">
        <f aca="false">P7-$AA$4</f>
        <v>-2.16196038524313</v>
      </c>
      <c r="AB13" s="9" t="n">
        <f aca="false">Q7-$AB$4</f>
        <v>0.145206253476144</v>
      </c>
      <c r="AD13" s="17" t="s">
        <v>31</v>
      </c>
    </row>
    <row r="14" customFormat="false" ht="15.75" hidden="false" customHeight="true" outlineLevel="0" collapsed="false">
      <c r="A14" s="7" t="n">
        <v>45307</v>
      </c>
      <c r="B14" s="8" t="n">
        <v>2747.65</v>
      </c>
      <c r="C14" s="9" t="n">
        <v>3861.3</v>
      </c>
      <c r="D14" s="9" t="n">
        <v>1620.35</v>
      </c>
      <c r="E14" s="8" t="n">
        <v>2542.05</v>
      </c>
      <c r="F14" s="9" t="n">
        <v>1095.9</v>
      </c>
      <c r="G14" s="11" t="n">
        <v>1387.5</v>
      </c>
      <c r="H14" s="12" t="n">
        <v>0.576202703</v>
      </c>
      <c r="I14" s="12"/>
      <c r="J14" s="12"/>
      <c r="K14" s="8" t="n">
        <f aca="false">((B14-B13)/B13)*100</f>
        <v>-1.42959641255605</v>
      </c>
      <c r="L14" s="8" t="n">
        <f aca="false">((C14-C13)/C13)*100</f>
        <v>-1.08868282186587</v>
      </c>
      <c r="M14" s="8" t="n">
        <f aca="false">((D14-D13)/D13)*100</f>
        <v>-0.929350982849809</v>
      </c>
      <c r="N14" s="8" t="n">
        <f aca="false">((E14-E13)/E13)*100</f>
        <v>-0.215893701791918</v>
      </c>
      <c r="O14" s="8" t="n">
        <f aca="false">((F14-F13)/F13)*100</f>
        <v>-0.589622641509434</v>
      </c>
      <c r="P14" s="8" t="n">
        <f aca="false">((G14-G13)/G13)*100</f>
        <v>-0.179856115107914</v>
      </c>
      <c r="Q14" s="8" t="n">
        <f aca="false">((H14-H13)/H13)*100</f>
        <v>0.0852168993585813</v>
      </c>
      <c r="S14" s="8" t="n">
        <v>1305.65</v>
      </c>
      <c r="V14" s="9" t="n">
        <f aca="false">K8-$V$4</f>
        <v>-0.776797747276295</v>
      </c>
      <c r="W14" s="9" t="n">
        <f aca="false">L8-$W$4</f>
        <v>-1.63209748369048</v>
      </c>
      <c r="X14" s="9" t="n">
        <f aca="false">M8-$X$4</f>
        <v>-1.82307324438106</v>
      </c>
      <c r="Y14" s="9" t="n">
        <f aca="false">N8-$Y$4</f>
        <v>-1.67993036816595</v>
      </c>
      <c r="Z14" s="9" t="n">
        <f aca="false">O8-$Z$4</f>
        <v>0.0420695136409751</v>
      </c>
      <c r="AA14" s="9" t="n">
        <f aca="false">P8-$AA$4</f>
        <v>-0.308737835568736</v>
      </c>
      <c r="AB14" s="9" t="n">
        <f aca="false">Q8-$AB$4</f>
        <v>-6.71139127029907</v>
      </c>
      <c r="AD14" s="1" t="n">
        <v>0.67</v>
      </c>
      <c r="AE14" s="1" t="s">
        <v>32</v>
      </c>
    </row>
    <row r="15" customFormat="false" ht="15.75" hidden="false" customHeight="true" outlineLevel="0" collapsed="false">
      <c r="A15" s="7" t="n">
        <v>45308</v>
      </c>
      <c r="B15" s="8" t="n">
        <v>2722.8</v>
      </c>
      <c r="C15" s="9" t="n">
        <v>3884.6</v>
      </c>
      <c r="D15" s="9" t="n">
        <v>1597.7</v>
      </c>
      <c r="E15" s="8" t="n">
        <v>2543.1</v>
      </c>
      <c r="F15" s="9" t="n">
        <v>1085.25</v>
      </c>
      <c r="G15" s="11" t="n">
        <v>1380</v>
      </c>
      <c r="H15" s="12" t="n">
        <v>0.575835845</v>
      </c>
      <c r="I15" s="12"/>
      <c r="J15" s="12"/>
      <c r="K15" s="8" t="n">
        <f aca="false">((B15-B14)/B14)*100</f>
        <v>-0.904409222426434</v>
      </c>
      <c r="L15" s="8" t="n">
        <f aca="false">((C15-C14)/C14)*100</f>
        <v>0.603423717400868</v>
      </c>
      <c r="M15" s="8" t="n">
        <f aca="false">((D15-D14)/D14)*100</f>
        <v>-1.39784614435152</v>
      </c>
      <c r="N15" s="8" t="n">
        <f aca="false">((E15-E14)/E14)*100</f>
        <v>0.0413052457662016</v>
      </c>
      <c r="O15" s="8" t="n">
        <f aca="false">((F15-F14)/F14)*100</f>
        <v>-0.971803996715037</v>
      </c>
      <c r="P15" s="8" t="n">
        <f aca="false">((G15-G14)/G14)*100</f>
        <v>-0.540540540540541</v>
      </c>
      <c r="Q15" s="8" t="n">
        <f aca="false">((H15-H14)/H14)*100</f>
        <v>-0.063668219203065</v>
      </c>
      <c r="S15" s="8" t="n">
        <v>1284</v>
      </c>
      <c r="V15" s="9" t="n">
        <f aca="false">K9-$V$4</f>
        <v>-0.197299041298449</v>
      </c>
      <c r="W15" s="9" t="n">
        <f aca="false">L9-$W$4</f>
        <v>0.277743774580172</v>
      </c>
      <c r="X15" s="9" t="n">
        <f aca="false">M9-$X$4</f>
        <v>0.602013755245079</v>
      </c>
      <c r="Y15" s="9" t="n">
        <f aca="false">N9-$Y$4</f>
        <v>-0.932860042074832</v>
      </c>
      <c r="Z15" s="9" t="n">
        <f aca="false">O9-$Z$4</f>
        <v>1.28073923978241</v>
      </c>
      <c r="AA15" s="9" t="n">
        <f aca="false">P9-$AA$4</f>
        <v>0.25940015155368</v>
      </c>
      <c r="AB15" s="9" t="n">
        <f aca="false">Q9-$AB$4</f>
        <v>3.95862720000253</v>
      </c>
    </row>
    <row r="16" customFormat="false" ht="15.75" hidden="false" customHeight="false" outlineLevel="0" collapsed="false">
      <c r="A16" s="7" t="n">
        <v>45309</v>
      </c>
      <c r="B16" s="8" t="n">
        <v>2734.9</v>
      </c>
      <c r="C16" s="9" t="n">
        <v>3902.6</v>
      </c>
      <c r="D16" s="9" t="n">
        <v>1617.25</v>
      </c>
      <c r="E16" s="8" t="n">
        <v>2502</v>
      </c>
      <c r="F16" s="9" t="n">
        <v>1087.05</v>
      </c>
      <c r="G16" s="11" t="n">
        <v>1382.5</v>
      </c>
      <c r="H16" s="12" t="n">
        <v>0.567900407</v>
      </c>
      <c r="I16" s="12"/>
      <c r="J16" s="12"/>
      <c r="K16" s="8" t="n">
        <f aca="false">((B16-B15)/B15)*100</f>
        <v>0.444395475246067</v>
      </c>
      <c r="L16" s="8" t="n">
        <f aca="false">((C16-C15)/C15)*100</f>
        <v>0.463368171755136</v>
      </c>
      <c r="M16" s="8" t="n">
        <f aca="false">((D16-D15)/D15)*100</f>
        <v>1.22363397383739</v>
      </c>
      <c r="N16" s="8" t="n">
        <f aca="false">((E16-E15)/E15)*100</f>
        <v>-1.6161377845936</v>
      </c>
      <c r="O16" s="8" t="n">
        <f aca="false">((F16-F15)/F15)*100</f>
        <v>0.165860400829298</v>
      </c>
      <c r="P16" s="8" t="n">
        <f aca="false">((G16-G15)/G15)*100</f>
        <v>0.181159420289855</v>
      </c>
      <c r="Q16" s="8" t="n">
        <f aca="false">((H16-H15)/H15)*100</f>
        <v>-1.37807294716083</v>
      </c>
      <c r="S16" s="8" t="n">
        <v>1273.05</v>
      </c>
      <c r="V16" s="9" t="n">
        <f aca="false">K10-$V$4</f>
        <v>2.70273594474554</v>
      </c>
      <c r="W16" s="9" t="n">
        <f aca="false">L10-$W$4</f>
        <v>0.589768975351506</v>
      </c>
      <c r="X16" s="9" t="n">
        <f aca="false">M10-$X$4</f>
        <v>-0.0708485837138963</v>
      </c>
      <c r="Y16" s="9" t="n">
        <f aca="false">N10-$Y$4</f>
        <v>-0.472787841832787</v>
      </c>
      <c r="Z16" s="9" t="n">
        <f aca="false">O10-$Z$4</f>
        <v>-0.361115300869892</v>
      </c>
      <c r="AA16" s="9" t="n">
        <f aca="false">P10-$AA$4</f>
        <v>-0.694745226928498</v>
      </c>
      <c r="AB16" s="9" t="n">
        <f aca="false">Q10-$AB$4</f>
        <v>-2.58060340999758</v>
      </c>
      <c r="AD16" s="1" t="s">
        <v>33</v>
      </c>
    </row>
    <row r="17" customFormat="false" ht="15.75" hidden="false" customHeight="false" outlineLevel="0" collapsed="false">
      <c r="A17" s="7" t="n">
        <v>45310</v>
      </c>
      <c r="B17" s="8" t="n">
        <v>2735.05</v>
      </c>
      <c r="C17" s="9" t="n">
        <v>3943.05</v>
      </c>
      <c r="D17" s="9" t="n">
        <v>1655.55</v>
      </c>
      <c r="E17" s="8" t="n">
        <v>2514.15</v>
      </c>
      <c r="F17" s="9" t="n">
        <v>1125</v>
      </c>
      <c r="G17" s="11" t="n">
        <v>1395</v>
      </c>
      <c r="H17" s="12" t="n">
        <v>0.551654579</v>
      </c>
      <c r="I17" s="12"/>
      <c r="J17" s="12"/>
      <c r="K17" s="8" t="n">
        <f aca="false">((B17-B16)/B16)*100</f>
        <v>0.00548466123076131</v>
      </c>
      <c r="L17" s="8" t="n">
        <f aca="false">((C17-C16)/C16)*100</f>
        <v>1.03648849484959</v>
      </c>
      <c r="M17" s="8" t="n">
        <f aca="false">((D17-D16)/D16)*100</f>
        <v>2.36821765342402</v>
      </c>
      <c r="N17" s="8" t="n">
        <f aca="false">((E17-E16)/E16)*100</f>
        <v>0.485611510791371</v>
      </c>
      <c r="O17" s="8" t="n">
        <f aca="false">((F17-F16)/F16)*100</f>
        <v>3.49109976542018</v>
      </c>
      <c r="P17" s="8" t="n">
        <f aca="false">((G17-G16)/G16)*100</f>
        <v>0.904159132007233</v>
      </c>
      <c r="Q17" s="8" t="n">
        <f aca="false">((H17-H16)/H16)*100</f>
        <v>-2.86068257739424</v>
      </c>
      <c r="S17" s="8" t="n">
        <v>1273.1</v>
      </c>
      <c r="V17" s="9" t="n">
        <f aca="false">K11-$V$4</f>
        <v>2.59844402100295</v>
      </c>
      <c r="W17" s="9" t="n">
        <f aca="false">L11-$W$4</f>
        <v>0.568351531850385</v>
      </c>
      <c r="X17" s="9" t="n">
        <f aca="false">M11-$X$4</f>
        <v>-0.502938234972832</v>
      </c>
      <c r="Y17" s="9" t="n">
        <f aca="false">N11-$Y$4</f>
        <v>-0.724178253254691</v>
      </c>
      <c r="Z17" s="9" t="n">
        <f aca="false">O11-$Z$4</f>
        <v>-0.177906839637204</v>
      </c>
      <c r="AA17" s="9" t="n">
        <f aca="false">P11-$AA$4</f>
        <v>1.81810163843635</v>
      </c>
      <c r="AB17" s="9" t="n">
        <f aca="false">Q11-$AB$4</f>
        <v>5.3114245275755</v>
      </c>
      <c r="AD17" s="14" t="s">
        <v>17</v>
      </c>
      <c r="AE17" s="18" t="n">
        <f aca="false">V6</f>
        <v>-5.61239182313134</v>
      </c>
    </row>
    <row r="18" customFormat="false" ht="15.75" hidden="false" customHeight="false" outlineLevel="0" collapsed="false">
      <c r="A18" s="7" t="n">
        <v>45311</v>
      </c>
      <c r="B18" s="8" t="n">
        <v>2713.2</v>
      </c>
      <c r="C18" s="9" t="n">
        <v>3860.65</v>
      </c>
      <c r="D18" s="9" t="n">
        <v>1622.3</v>
      </c>
      <c r="E18" s="8" t="n">
        <v>2479.95</v>
      </c>
      <c r="F18" s="9" t="n">
        <v>1123.75</v>
      </c>
      <c r="G18" s="11" t="n">
        <v>1387.5</v>
      </c>
      <c r="H18" s="12" t="n">
        <v>0.543986175</v>
      </c>
      <c r="I18" s="12"/>
      <c r="J18" s="12"/>
      <c r="K18" s="8" t="n">
        <f aca="false">((B18-B17)/B17)*100</f>
        <v>-0.798888502952427</v>
      </c>
      <c r="L18" s="8" t="n">
        <f aca="false">((C18-C17)/C17)*100</f>
        <v>-2.08975285629145</v>
      </c>
      <c r="M18" s="8" t="n">
        <f aca="false">((D18-D17)/D17)*100</f>
        <v>-2.00839600132886</v>
      </c>
      <c r="N18" s="8" t="n">
        <f aca="false">((E18-E17)/E17)*100</f>
        <v>-1.36030069804905</v>
      </c>
      <c r="O18" s="8" t="n">
        <f aca="false">((F18-F17)/F17)*100</f>
        <v>-0.111111111111111</v>
      </c>
      <c r="P18" s="8" t="n">
        <f aca="false">((G18-G17)/G17)*100</f>
        <v>-0.537634408602151</v>
      </c>
      <c r="Q18" s="8" t="n">
        <f aca="false">((H18-H17)/H17)*100</f>
        <v>-1.39007347929582</v>
      </c>
      <c r="S18" s="8" t="n">
        <v>1252.25</v>
      </c>
      <c r="V18" s="9" t="n">
        <f aca="false">K12-$V$4</f>
        <v>0.813640100474084</v>
      </c>
      <c r="W18" s="9" t="n">
        <f aca="false">L12-$W$4</f>
        <v>3.90423665084663</v>
      </c>
      <c r="X18" s="9" t="n">
        <f aca="false">M12-$X$4</f>
        <v>-0.506655904941537</v>
      </c>
      <c r="Y18" s="9" t="n">
        <f aca="false">N12-$Y$4</f>
        <v>-0.210703788070122</v>
      </c>
      <c r="Z18" s="9" t="n">
        <f aca="false">O12-$Z$4</f>
        <v>1.07814799665343</v>
      </c>
      <c r="AA18" s="9" t="n">
        <f aca="false">P12-$AA$4</f>
        <v>-1.51049484833184</v>
      </c>
      <c r="AB18" s="9" t="n">
        <f aca="false">Q12-$AB$4</f>
        <v>-0.490593101579617</v>
      </c>
      <c r="AD18" s="14" t="s">
        <v>18</v>
      </c>
      <c r="AE18" s="18" t="n">
        <f aca="false">W6</f>
        <v>13.7310447750419</v>
      </c>
    </row>
    <row r="19" customFormat="false" ht="15.75" hidden="false" customHeight="false" outlineLevel="0" collapsed="false">
      <c r="A19" s="7" t="n">
        <v>45314</v>
      </c>
      <c r="B19" s="8" t="n">
        <v>2656</v>
      </c>
      <c r="C19" s="9" t="n">
        <v>3858.25</v>
      </c>
      <c r="D19" s="9" t="n">
        <v>1595.2</v>
      </c>
      <c r="E19" s="8" t="n">
        <v>2462.9</v>
      </c>
      <c r="F19" s="9" t="n">
        <v>1158</v>
      </c>
      <c r="G19" s="11" t="n">
        <v>1380</v>
      </c>
      <c r="H19" s="12" t="n">
        <v>0.525441419</v>
      </c>
      <c r="I19" s="12"/>
      <c r="J19" s="12"/>
      <c r="K19" s="8" t="n">
        <f aca="false">((B19-B18)/B18)*100</f>
        <v>-2.10821170573492</v>
      </c>
      <c r="L19" s="8" t="n">
        <f aca="false">((C19-C18)/C18)*100</f>
        <v>-0.062165697486177</v>
      </c>
      <c r="M19" s="8" t="n">
        <f aca="false">((D19-D18)/D18)*100</f>
        <v>-1.67046785428095</v>
      </c>
      <c r="N19" s="8" t="n">
        <f aca="false">((E19-E18)/E18)*100</f>
        <v>-0.687513861166545</v>
      </c>
      <c r="O19" s="8" t="n">
        <f aca="false">((F19-F18)/F18)*100</f>
        <v>3.04783092324805</v>
      </c>
      <c r="P19" s="8" t="n">
        <f aca="false">((G19-G18)/G18)*100</f>
        <v>-0.540540540540541</v>
      </c>
      <c r="Q19" s="8" t="n">
        <f aca="false">((H19-H18)/H18)*100</f>
        <v>-3.40904913622116</v>
      </c>
      <c r="S19" s="8" t="n">
        <v>1267.7</v>
      </c>
      <c r="V19" s="9" t="n">
        <f aca="false">K13-$V$4</f>
        <v>1.74524028953504</v>
      </c>
      <c r="W19" s="9" t="n">
        <f aca="false">L13-$W$4</f>
        <v>0.503227510825733</v>
      </c>
      <c r="X19" s="9" t="n">
        <f aca="false">M13-$X$4</f>
        <v>0.434534586831282</v>
      </c>
      <c r="Y19" s="9" t="n">
        <f aca="false">N13-$Y$4</f>
        <v>0.00609150512273118</v>
      </c>
      <c r="Z19" s="9" t="n">
        <f aca="false">O13-$Z$4</f>
        <v>2.22819464258038</v>
      </c>
      <c r="AA19" s="9" t="n">
        <f aca="false">P13-$AA$4</f>
        <v>-0.220887258722369</v>
      </c>
      <c r="AB19" s="9" t="n">
        <f aca="false">Q13-$AB$4</f>
        <v>-4.96376059083357</v>
      </c>
      <c r="AD19" s="14" t="s">
        <v>29</v>
      </c>
      <c r="AE19" s="18" t="n">
        <f aca="false">X6</f>
        <v>90.8023675730242</v>
      </c>
    </row>
    <row r="20" customFormat="false" ht="15.75" hidden="false" customHeight="false" outlineLevel="0" collapsed="false">
      <c r="A20" s="7" t="n">
        <v>45315</v>
      </c>
      <c r="B20" s="8" t="n">
        <v>2688.7</v>
      </c>
      <c r="C20" s="9" t="n">
        <v>3841.8</v>
      </c>
      <c r="D20" s="9" t="n">
        <v>1628.1</v>
      </c>
      <c r="E20" s="8" t="n">
        <v>2513.95</v>
      </c>
      <c r="F20" s="9" t="n">
        <v>1189.95</v>
      </c>
      <c r="G20" s="11" t="n">
        <v>1390</v>
      </c>
      <c r="H20" s="12" t="n">
        <v>0.517569794</v>
      </c>
      <c r="I20" s="12"/>
      <c r="J20" s="12"/>
      <c r="K20" s="8" t="n">
        <f aca="false">((B20-B19)/B19)*100</f>
        <v>1.23117469879517</v>
      </c>
      <c r="L20" s="8" t="n">
        <f aca="false">((C20-C19)/C19)*100</f>
        <v>-0.426359100628519</v>
      </c>
      <c r="M20" s="8" t="n">
        <f aca="false">((D20-D19)/D19)*100</f>
        <v>2.0624373119358</v>
      </c>
      <c r="N20" s="8" t="n">
        <f aca="false">((E20-E19)/E19)*100</f>
        <v>2.07275975476064</v>
      </c>
      <c r="O20" s="8" t="n">
        <f aca="false">((F20-F19)/F19)*100</f>
        <v>2.75906735751296</v>
      </c>
      <c r="P20" s="8" t="n">
        <f aca="false">((G20-G19)/G19)*100</f>
        <v>0.72463768115942</v>
      </c>
      <c r="Q20" s="8" t="n">
        <f aca="false">((H20-H19)/H19)*100</f>
        <v>-1.49809754529457</v>
      </c>
      <c r="S20" s="8" t="n">
        <v>1260.65</v>
      </c>
      <c r="V20" s="9" t="n">
        <f aca="false">K14-$V$4</f>
        <v>-1.41421999660227</v>
      </c>
      <c r="W20" s="9" t="n">
        <f aca="false">L14-$W$4</f>
        <v>-1.12630212261941</v>
      </c>
      <c r="X20" s="9" t="n">
        <f aca="false">M14-$X$4</f>
        <v>-1.17812459263892</v>
      </c>
      <c r="Y20" s="9" t="n">
        <f aca="false">N14-$Y$4</f>
        <v>-0.129397427293609</v>
      </c>
      <c r="Z20" s="9" t="n">
        <f aca="false">O14-$Z$4</f>
        <v>-0.781644471266132</v>
      </c>
      <c r="AA20" s="9" t="n">
        <f aca="false">P14-$AA$4</f>
        <v>-0.160315627750697</v>
      </c>
      <c r="AB20" s="9" t="n">
        <f aca="false">Q14-$AB$4</f>
        <v>-0.594040817044568</v>
      </c>
      <c r="AD20" s="14" t="s">
        <v>20</v>
      </c>
      <c r="AE20" s="18" t="n">
        <f aca="false">Y6</f>
        <v>-31.5711401918827</v>
      </c>
    </row>
    <row r="21" customFormat="false" ht="15.75" hidden="false" customHeight="false" outlineLevel="0" collapsed="false">
      <c r="A21" s="7" t="n">
        <v>45316</v>
      </c>
      <c r="B21" s="8" t="n">
        <v>2710.35</v>
      </c>
      <c r="C21" s="9" t="n">
        <v>3810.3</v>
      </c>
      <c r="D21" s="9" t="n">
        <v>1635.5</v>
      </c>
      <c r="E21" s="8" t="n">
        <v>2482.15</v>
      </c>
      <c r="F21" s="9" t="n">
        <v>1160.55</v>
      </c>
      <c r="G21" s="11" t="n">
        <v>1398.35</v>
      </c>
      <c r="H21" s="12" t="n">
        <v>0.518363804</v>
      </c>
      <c r="I21" s="12"/>
      <c r="J21" s="12"/>
      <c r="K21" s="8" t="n">
        <f aca="false">((B21-B20)/B20)*100</f>
        <v>0.805221854427794</v>
      </c>
      <c r="L21" s="8" t="n">
        <f aca="false">((C21-C20)/C20)*100</f>
        <v>-0.819928158675621</v>
      </c>
      <c r="M21" s="8" t="n">
        <f aca="false">((D21-D20)/D20)*100</f>
        <v>0.454517535777906</v>
      </c>
      <c r="N21" s="8" t="n">
        <f aca="false">((E21-E20)/E20)*100</f>
        <v>-1.26494162572842</v>
      </c>
      <c r="O21" s="8" t="n">
        <f aca="false">((F21-F20)/F20)*100</f>
        <v>-2.47069204588429</v>
      </c>
      <c r="P21" s="8" t="n">
        <f aca="false">((G21-G20)/G20)*100</f>
        <v>0.600719424460425</v>
      </c>
      <c r="Q21" s="8" t="n">
        <f aca="false">((H21-H20)/H20)*100</f>
        <v>0.153411193853406</v>
      </c>
      <c r="S21" s="8" t="n">
        <v>1241.3</v>
      </c>
      <c r="V21" s="9" t="n">
        <f aca="false">K15-$V$4</f>
        <v>-0.889032806472649</v>
      </c>
      <c r="W21" s="9" t="n">
        <f aca="false">L15-$W$4</f>
        <v>0.565804416647329</v>
      </c>
      <c r="X21" s="9" t="n">
        <f aca="false">M15-$X$4</f>
        <v>-1.64661975414063</v>
      </c>
      <c r="Y21" s="9" t="n">
        <f aca="false">N15-$Y$4</f>
        <v>0.12780152026451</v>
      </c>
      <c r="Z21" s="9" t="n">
        <f aca="false">O15-$Z$4</f>
        <v>-1.16382582647173</v>
      </c>
      <c r="AA21" s="9" t="n">
        <f aca="false">P15-$AA$4</f>
        <v>-0.521000053183324</v>
      </c>
      <c r="AB21" s="9" t="n">
        <f aca="false">Q15-$AB$4</f>
        <v>-0.742925935606214</v>
      </c>
      <c r="AD21" s="14" t="s">
        <v>21</v>
      </c>
      <c r="AE21" s="18" t="n">
        <f aca="false">Z6</f>
        <v>70.0879678611947</v>
      </c>
    </row>
    <row r="22" customFormat="false" ht="15.75" hidden="false" customHeight="false" outlineLevel="0" collapsed="false">
      <c r="A22" s="7" t="n">
        <v>45320</v>
      </c>
      <c r="B22" s="8" t="n">
        <v>2896.15</v>
      </c>
      <c r="C22" s="9" t="n">
        <v>3801</v>
      </c>
      <c r="D22" s="9" t="n">
        <v>1640</v>
      </c>
      <c r="E22" s="8" t="n">
        <v>2498.55</v>
      </c>
      <c r="F22" s="9" t="n">
        <v>1162.15</v>
      </c>
      <c r="G22" s="11" t="n">
        <v>1390</v>
      </c>
      <c r="H22" s="12" t="n">
        <v>0.524051455</v>
      </c>
      <c r="I22" s="12"/>
      <c r="J22" s="12"/>
      <c r="K22" s="8" t="n">
        <f aca="false">((B22-B21)/B21)*100</f>
        <v>6.85520320253843</v>
      </c>
      <c r="L22" s="8" t="n">
        <f aca="false">((C22-C21)/C21)*100</f>
        <v>-0.244075269663811</v>
      </c>
      <c r="M22" s="8" t="n">
        <f aca="false">((D22-D21)/D21)*100</f>
        <v>0.275145215530419</v>
      </c>
      <c r="N22" s="8" t="n">
        <f aca="false">((E22-E21)/E21)*100</f>
        <v>0.660717523115045</v>
      </c>
      <c r="O22" s="8" t="n">
        <f aca="false">((F22-F21)/F21)*100</f>
        <v>0.137865667140592</v>
      </c>
      <c r="P22" s="8" t="n">
        <f aca="false">((G22-G21)/G21)*100</f>
        <v>-0.597132334537127</v>
      </c>
      <c r="Q22" s="8" t="n">
        <f aca="false">((H22-H21)/H21)*100</f>
        <v>1.09723151117242</v>
      </c>
      <c r="S22" s="8" t="n">
        <v>1223.2</v>
      </c>
      <c r="V22" s="9" t="n">
        <f aca="false">K16-$V$4</f>
        <v>0.459771891199851</v>
      </c>
      <c r="W22" s="9" t="n">
        <f aca="false">L16-$W$4</f>
        <v>0.425748871001596</v>
      </c>
      <c r="X22" s="9" t="n">
        <f aca="false">M16-$X$4</f>
        <v>0.974860364048281</v>
      </c>
      <c r="Y22" s="9" t="n">
        <f aca="false">N16-$Y$4</f>
        <v>-1.52964151009529</v>
      </c>
      <c r="Z22" s="9" t="n">
        <f aca="false">O16-$Z$4</f>
        <v>-0.0261614289274001</v>
      </c>
      <c r="AA22" s="9" t="n">
        <f aca="false">P16-$AA$4</f>
        <v>0.200699907647072</v>
      </c>
      <c r="AB22" s="9" t="n">
        <f aca="false">Q16-$AB$4</f>
        <v>-2.05733066356398</v>
      </c>
      <c r="AD22" s="14" t="s">
        <v>6</v>
      </c>
      <c r="AE22" s="18" t="n">
        <f aca="false">AA6</f>
        <v>-7.1322778853841</v>
      </c>
    </row>
    <row r="23" customFormat="false" ht="15.75" hidden="false" customHeight="false" outlineLevel="0" collapsed="false">
      <c r="A23" s="7" t="n">
        <v>45321</v>
      </c>
      <c r="B23" s="8" t="n">
        <v>2814.85</v>
      </c>
      <c r="C23" s="9" t="n">
        <v>3800.55</v>
      </c>
      <c r="D23" s="9" t="n">
        <v>1620.35</v>
      </c>
      <c r="E23" s="8" t="n">
        <v>2492.05</v>
      </c>
      <c r="F23" s="9" t="n">
        <v>1158.65</v>
      </c>
      <c r="G23" s="11" t="n">
        <v>1382.5</v>
      </c>
      <c r="H23" s="12" t="n">
        <v>0.535289112</v>
      </c>
      <c r="I23" s="12"/>
      <c r="J23" s="12"/>
      <c r="K23" s="8" t="n">
        <f aca="false">((B23-B22)/B22)*100</f>
        <v>-2.80717504272915</v>
      </c>
      <c r="L23" s="8" t="n">
        <f aca="false">((C23-C22)/C22)*100</f>
        <v>-0.0118389897395374</v>
      </c>
      <c r="M23" s="8" t="n">
        <f aca="false">((D23-D22)/D22)*100</f>
        <v>-1.19817073170732</v>
      </c>
      <c r="N23" s="8" t="n">
        <f aca="false">((E23-E22)/E22)*100</f>
        <v>-0.260150887514759</v>
      </c>
      <c r="O23" s="8" t="n">
        <f aca="false">((F23-F22)/F22)*100</f>
        <v>-0.301165942434281</v>
      </c>
      <c r="P23" s="8" t="n">
        <f aca="false">((G23-G22)/G22)*100</f>
        <v>-0.539568345323741</v>
      </c>
      <c r="Q23" s="8" t="n">
        <f aca="false">((H23-H22)/H22)*100</f>
        <v>2.14438045973938</v>
      </c>
      <c r="S23" s="8" t="n">
        <v>1265.95</v>
      </c>
      <c r="V23" s="9" t="n">
        <f aca="false">K17-$V$4</f>
        <v>0.0208610771845458</v>
      </c>
      <c r="W23" s="9" t="n">
        <f aca="false">L17-$W$4</f>
        <v>0.998869194096055</v>
      </c>
      <c r="X23" s="9" t="n">
        <f aca="false">M17-$X$4</f>
        <v>2.11944404363491</v>
      </c>
      <c r="Y23" s="9" t="n">
        <f aca="false">N17-$Y$4</f>
        <v>0.572107785289679</v>
      </c>
      <c r="Z23" s="9" t="n">
        <f aca="false">O17-$Z$4</f>
        <v>3.29907793566348</v>
      </c>
      <c r="AA23" s="9" t="n">
        <f aca="false">P17-$AA$4</f>
        <v>0.92369961936445</v>
      </c>
      <c r="AB23" s="9" t="n">
        <f aca="false">Q17-$AB$4</f>
        <v>-3.53994029379739</v>
      </c>
      <c r="AD23" s="14" t="s">
        <v>22</v>
      </c>
      <c r="AE23" s="18" t="n">
        <f aca="false">AB6</f>
        <v>247.929066487149</v>
      </c>
    </row>
    <row r="24" customFormat="false" ht="15.75" hidden="false" customHeight="false" outlineLevel="0" collapsed="false">
      <c r="A24" s="7" t="n">
        <v>45322</v>
      </c>
      <c r="B24" s="8" t="n">
        <v>2853.2</v>
      </c>
      <c r="C24" s="9" t="n">
        <v>3815.95</v>
      </c>
      <c r="D24" s="9" t="n">
        <v>1651.55</v>
      </c>
      <c r="E24" s="8" t="n">
        <v>2506</v>
      </c>
      <c r="F24" s="9" t="n">
        <v>1170.7</v>
      </c>
      <c r="G24" s="11" t="n">
        <v>1387.5</v>
      </c>
      <c r="H24" s="12" t="n">
        <v>0.51091438</v>
      </c>
      <c r="I24" s="12"/>
      <c r="J24" s="12"/>
      <c r="K24" s="8" t="n">
        <f aca="false">((B24-B23)/B23)*100</f>
        <v>1.36241718031156</v>
      </c>
      <c r="L24" s="8" t="n">
        <f aca="false">((C24-C23)/C23)*100</f>
        <v>0.405204509873561</v>
      </c>
      <c r="M24" s="8" t="n">
        <f aca="false">((D24-D23)/D23)*100</f>
        <v>1.92550992069615</v>
      </c>
      <c r="N24" s="8" t="n">
        <f aca="false">((E24-E23)/E23)*100</f>
        <v>0.559780100720283</v>
      </c>
      <c r="O24" s="8" t="n">
        <f aca="false">((F24-F23)/F23)*100</f>
        <v>1.04000345229361</v>
      </c>
      <c r="P24" s="8" t="n">
        <f aca="false">((G24-G23)/G23)*100</f>
        <v>0.361663652802893</v>
      </c>
      <c r="Q24" s="8" t="n">
        <f aca="false">((H24-H23)/H23)*100</f>
        <v>-4.55356394396454</v>
      </c>
      <c r="S24" s="8" t="n">
        <v>1287.8</v>
      </c>
      <c r="V24" s="9" t="n">
        <f aca="false">K18-$V$4</f>
        <v>-0.783512086998643</v>
      </c>
      <c r="W24" s="9" t="n">
        <f aca="false">L18-$W$4</f>
        <v>-2.12737215704499</v>
      </c>
      <c r="X24" s="9" t="n">
        <f aca="false">M18-$X$4</f>
        <v>-2.25716961111797</v>
      </c>
      <c r="Y24" s="9" t="n">
        <f aca="false">N18-$Y$4</f>
        <v>-1.27380442355074</v>
      </c>
      <c r="Z24" s="9" t="n">
        <f aca="false">O18-$Z$4</f>
        <v>-0.303132940867809</v>
      </c>
      <c r="AA24" s="9" t="n">
        <f aca="false">P18-$AA$4</f>
        <v>-0.518093921244934</v>
      </c>
      <c r="AB24" s="9" t="n">
        <f aca="false">Q18-$AB$4</f>
        <v>-2.06933119569897</v>
      </c>
    </row>
    <row r="25" customFormat="false" ht="15.75" hidden="false" customHeight="false" outlineLevel="0" collapsed="false">
      <c r="A25" s="7" t="n">
        <v>45323</v>
      </c>
      <c r="B25" s="8" t="n">
        <v>2852.7</v>
      </c>
      <c r="C25" s="9" t="n">
        <v>3854.15</v>
      </c>
      <c r="D25" s="9" t="n">
        <v>1651.15</v>
      </c>
      <c r="E25" s="8" t="n">
        <v>2467.8</v>
      </c>
      <c r="F25" s="9" t="n">
        <v>1151.2</v>
      </c>
      <c r="G25" s="11" t="n">
        <v>1385</v>
      </c>
      <c r="H25" s="12" t="n">
        <v>0.502797087</v>
      </c>
      <c r="I25" s="12"/>
      <c r="J25" s="12"/>
      <c r="K25" s="8" t="n">
        <f aca="false">((B25-B24)/B24)*100</f>
        <v>-0.0175241833730548</v>
      </c>
      <c r="L25" s="8" t="n">
        <f aca="false">((C25-C24)/C24)*100</f>
        <v>1.0010613346611</v>
      </c>
      <c r="M25" s="8" t="n">
        <f aca="false">((D25-D24)/D24)*100</f>
        <v>-0.0242196724289221</v>
      </c>
      <c r="N25" s="8" t="n">
        <f aca="false">((E25-E24)/E24)*100</f>
        <v>-1.52434158020749</v>
      </c>
      <c r="O25" s="8" t="n">
        <f aca="false">((F25-F24)/F24)*100</f>
        <v>-1.66567011189886</v>
      </c>
      <c r="P25" s="8" t="n">
        <f aca="false">((G25-G24)/G24)*100</f>
        <v>-0.18018018018018</v>
      </c>
      <c r="Q25" s="8" t="n">
        <f aca="false">((H25-H24)/H24)*100</f>
        <v>-1.5887775560359</v>
      </c>
      <c r="S25" s="8" t="n">
        <v>1295.55</v>
      </c>
      <c r="V25" s="9" t="n">
        <f aca="false">K19-$V$4</f>
        <v>-2.09283528978113</v>
      </c>
      <c r="W25" s="9" t="n">
        <f aca="false">L19-$W$4</f>
        <v>-0.0997849982397164</v>
      </c>
      <c r="X25" s="9" t="n">
        <f aca="false">M19-$X$4</f>
        <v>-1.91924146407006</v>
      </c>
      <c r="Y25" s="9" t="n">
        <f aca="false">N19-$Y$4</f>
        <v>-0.601017586668236</v>
      </c>
      <c r="Z25" s="9" t="n">
        <f aca="false">O19-$Z$4</f>
        <v>2.85580909349136</v>
      </c>
      <c r="AA25" s="9" t="n">
        <f aca="false">P19-$AA$4</f>
        <v>-0.521000053183324</v>
      </c>
      <c r="AB25" s="9" t="n">
        <f aca="false">Q19-$AB$4</f>
        <v>-4.08830685262431</v>
      </c>
      <c r="AD25" s="19" t="s">
        <v>34</v>
      </c>
      <c r="AE25" s="20"/>
      <c r="AF25" s="20"/>
    </row>
    <row r="26" customFormat="false" ht="15.75" hidden="false" customHeight="false" outlineLevel="0" collapsed="false">
      <c r="A26" s="7" t="n">
        <v>45324</v>
      </c>
      <c r="B26" s="8" t="n">
        <v>2914.75</v>
      </c>
      <c r="C26" s="9" t="n">
        <v>3966.3</v>
      </c>
      <c r="D26" s="9" t="n">
        <v>1660.75</v>
      </c>
      <c r="E26" s="8" t="n">
        <v>2481.4</v>
      </c>
      <c r="F26" s="9" t="n">
        <v>1150.8</v>
      </c>
      <c r="G26" s="11" t="n">
        <v>1380</v>
      </c>
      <c r="H26" s="12" t="n">
        <v>0.505953233</v>
      </c>
      <c r="I26" s="12"/>
      <c r="J26" s="12"/>
      <c r="K26" s="8" t="n">
        <f aca="false">((B26-B25)/B25)*100</f>
        <v>2.17513233077436</v>
      </c>
      <c r="L26" s="8" t="n">
        <f aca="false">((C26-C25)/C25)*100</f>
        <v>2.9098504209748</v>
      </c>
      <c r="M26" s="8" t="n">
        <f aca="false">((D26-D25)/D25)*100</f>
        <v>0.581412954607389</v>
      </c>
      <c r="N26" s="8" t="n">
        <f aca="false">((E26-E25)/E25)*100</f>
        <v>0.551098144095952</v>
      </c>
      <c r="O26" s="8" t="n">
        <f aca="false">((F26-F25)/F25)*100</f>
        <v>-0.0347463516330864</v>
      </c>
      <c r="P26" s="8" t="n">
        <f aca="false">((G26-G25)/G25)*100</f>
        <v>-0.36101083032491</v>
      </c>
      <c r="Q26" s="8" t="n">
        <f aca="false">((H26-H25)/H25)*100</f>
        <v>0.627717638308417</v>
      </c>
      <c r="S26" s="8" t="n">
        <v>1292.9</v>
      </c>
      <c r="V26" s="9" t="n">
        <f aca="false">K20-$V$4</f>
        <v>1.24655111474896</v>
      </c>
      <c r="W26" s="9" t="n">
        <f aca="false">L20-$W$4</f>
        <v>-0.463978401382058</v>
      </c>
      <c r="X26" s="9" t="n">
        <f aca="false">M20-$X$4</f>
        <v>1.81366370214669</v>
      </c>
      <c r="Y26" s="9" t="n">
        <f aca="false">N20-$Y$4</f>
        <v>2.15925602925895</v>
      </c>
      <c r="Z26" s="9" t="n">
        <f aca="false">O20-$Z$4</f>
        <v>2.56704552775626</v>
      </c>
      <c r="AA26" s="9" t="n">
        <f aca="false">P20-$AA$4</f>
        <v>0.744178168516637</v>
      </c>
      <c r="AB26" s="9" t="n">
        <f aca="false">Q20-$AB$4</f>
        <v>-2.17735526169772</v>
      </c>
      <c r="AD26" s="16" t="s">
        <v>17</v>
      </c>
      <c r="AE26" s="19" t="n">
        <f aca="false">1/7</f>
        <v>0.142857142857143</v>
      </c>
      <c r="AF26" s="20"/>
    </row>
    <row r="27" customFormat="false" ht="15.75" hidden="false" customHeight="false" outlineLevel="0" collapsed="false">
      <c r="A27" s="7" t="n">
        <v>45327</v>
      </c>
      <c r="B27" s="8" t="n">
        <v>2877.05</v>
      </c>
      <c r="C27" s="9" t="n">
        <v>3973.3</v>
      </c>
      <c r="D27" s="9" t="n">
        <v>1703.55</v>
      </c>
      <c r="E27" s="8" t="n">
        <v>2462.7</v>
      </c>
      <c r="F27" s="9" t="n">
        <v>1113.55</v>
      </c>
      <c r="G27" s="11" t="n">
        <v>1373.25</v>
      </c>
      <c r="H27" s="12" t="n">
        <v>0.503319923</v>
      </c>
      <c r="I27" s="12"/>
      <c r="J27" s="12"/>
      <c r="K27" s="8" t="n">
        <f aca="false">((B27-B26)/B26)*100</f>
        <v>-1.29342139119993</v>
      </c>
      <c r="L27" s="8" t="n">
        <f aca="false">((C27-C26)/C26)*100</f>
        <v>0.176486902150619</v>
      </c>
      <c r="M27" s="8" t="n">
        <f aca="false">((D27-D26)/D26)*100</f>
        <v>2.57714887851874</v>
      </c>
      <c r="N27" s="8" t="n">
        <f aca="false">((E27-E26)/E26)*100</f>
        <v>-0.753606834851305</v>
      </c>
      <c r="O27" s="8" t="n">
        <f aca="false">((F27-F26)/F26)*100</f>
        <v>-3.23687869308307</v>
      </c>
      <c r="P27" s="8" t="n">
        <f aca="false">((G27-G26)/G26)*100</f>
        <v>-0.489130434782609</v>
      </c>
      <c r="Q27" s="8" t="n">
        <f aca="false">((H27-H26)/H26)*100</f>
        <v>-0.520465099982867</v>
      </c>
      <c r="S27" s="8" t="n">
        <v>1271.35</v>
      </c>
      <c r="V27" s="9" t="n">
        <f aca="false">K21-$V$4</f>
        <v>0.820598270381578</v>
      </c>
      <c r="W27" s="9" t="n">
        <f aca="false">L21-$W$4</f>
        <v>-0.85754745942916</v>
      </c>
      <c r="X27" s="9" t="n">
        <f aca="false">M21-$X$4</f>
        <v>0.205743925988799</v>
      </c>
      <c r="Y27" s="9" t="n">
        <f aca="false">N21-$Y$4</f>
        <v>-1.17844535123012</v>
      </c>
      <c r="Z27" s="9" t="n">
        <f aca="false">O21-$Z$4</f>
        <v>-2.66271387564099</v>
      </c>
      <c r="AA27" s="9" t="n">
        <f aca="false">P21-$AA$4</f>
        <v>0.620259911817642</v>
      </c>
      <c r="AB27" s="9" t="n">
        <f aca="false">Q21-$AB$4</f>
        <v>-0.525846522549743</v>
      </c>
      <c r="AD27" s="16" t="s">
        <v>18</v>
      </c>
      <c r="AE27" s="19" t="n">
        <f aca="false">1/7</f>
        <v>0.142857142857143</v>
      </c>
      <c r="AF27" s="20"/>
    </row>
    <row r="28" customFormat="false" ht="15.75" hidden="false" customHeight="false" outlineLevel="0" collapsed="false">
      <c r="A28" s="7" t="n">
        <v>45328</v>
      </c>
      <c r="B28" s="8" t="n">
        <v>2856.8</v>
      </c>
      <c r="C28" s="9" t="n">
        <v>4136</v>
      </c>
      <c r="D28" s="9" t="n">
        <v>1727.65</v>
      </c>
      <c r="E28" s="8" t="n">
        <v>2456.65</v>
      </c>
      <c r="F28" s="9" t="n">
        <v>1134.05</v>
      </c>
      <c r="G28" s="11" t="n">
        <v>1365.5</v>
      </c>
      <c r="H28" s="12" t="n">
        <v>0.506074661</v>
      </c>
      <c r="I28" s="12"/>
      <c r="J28" s="12"/>
      <c r="K28" s="8" t="n">
        <f aca="false">((B28-B27)/B27)*100</f>
        <v>-0.703845953320241</v>
      </c>
      <c r="L28" s="8" t="n">
        <f aca="false">((C28-C27)/C27)*100</f>
        <v>4.09483301034404</v>
      </c>
      <c r="M28" s="8" t="n">
        <f aca="false">((D28-D27)/D27)*100</f>
        <v>1.41469284728949</v>
      </c>
      <c r="N28" s="8" t="n">
        <f aca="false">((E28-E27)/E27)*100</f>
        <v>-0.245665326673965</v>
      </c>
      <c r="O28" s="8" t="n">
        <f aca="false">((F28-F27)/F27)*100</f>
        <v>1.84095909478694</v>
      </c>
      <c r="P28" s="8" t="n">
        <f aca="false">((G28-G27)/G27)*100</f>
        <v>-0.564354633169488</v>
      </c>
      <c r="Q28" s="8" t="n">
        <f aca="false">((H28-H27)/H27)*100</f>
        <v>0.54731352249691</v>
      </c>
      <c r="S28" s="8" t="n">
        <v>1292.45</v>
      </c>
      <c r="V28" s="9" t="n">
        <f aca="false">K22-$V$4</f>
        <v>6.87057961849221</v>
      </c>
      <c r="W28" s="9" t="n">
        <f aca="false">L22-$W$4</f>
        <v>-0.28169457041735</v>
      </c>
      <c r="X28" s="9" t="n">
        <f aca="false">M22-$X$4</f>
        <v>0.0263716057413116</v>
      </c>
      <c r="Y28" s="9" t="n">
        <f aca="false">N22-$Y$4</f>
        <v>0.747213797613354</v>
      </c>
      <c r="Z28" s="9" t="n">
        <f aca="false">O22-$Z$4</f>
        <v>-0.0541561626161063</v>
      </c>
      <c r="AA28" s="9" t="n">
        <f aca="false">P22-$AA$4</f>
        <v>-0.57759184717991</v>
      </c>
      <c r="AB28" s="9" t="n">
        <f aca="false">Q22-$AB$4</f>
        <v>0.417973794769266</v>
      </c>
      <c r="AD28" s="16" t="s">
        <v>29</v>
      </c>
      <c r="AE28" s="19" t="n">
        <f aca="false">1/7</f>
        <v>0.142857142857143</v>
      </c>
      <c r="AF28" s="20"/>
    </row>
    <row r="29" customFormat="false" ht="15.75" hidden="false" customHeight="false" outlineLevel="0" collapsed="false">
      <c r="A29" s="7" t="n">
        <v>45329</v>
      </c>
      <c r="B29" s="8" t="n">
        <v>2883.4</v>
      </c>
      <c r="C29" s="9" t="n">
        <v>4083.4</v>
      </c>
      <c r="D29" s="9" t="n">
        <v>1721</v>
      </c>
      <c r="E29" s="8" t="n">
        <v>2499.6</v>
      </c>
      <c r="F29" s="9" t="n">
        <v>1134.3</v>
      </c>
      <c r="G29" s="11" t="n">
        <v>1375</v>
      </c>
      <c r="H29" s="12" t="n">
        <v>0.505109509</v>
      </c>
      <c r="I29" s="12"/>
      <c r="J29" s="12"/>
      <c r="K29" s="8" t="n">
        <f aca="false">((B29-B28)/B28)*100</f>
        <v>0.931111733408006</v>
      </c>
      <c r="L29" s="8" t="n">
        <f aca="false">((C29-C28)/C28)*100</f>
        <v>-1.27176015473888</v>
      </c>
      <c r="M29" s="8" t="n">
        <f aca="false">((D29-D28)/D28)*100</f>
        <v>-0.384915926258217</v>
      </c>
      <c r="N29" s="8" t="n">
        <f aca="false">((E29-E28)/E28)*100</f>
        <v>1.74831579590091</v>
      </c>
      <c r="O29" s="8" t="n">
        <f aca="false">((F29-F28)/F28)*100</f>
        <v>0.0220448833825669</v>
      </c>
      <c r="P29" s="8" t="n">
        <f aca="false">((G29-G28)/G28)*100</f>
        <v>0.695715854998169</v>
      </c>
      <c r="Q29" s="8" t="n">
        <f aca="false">((H29-H28)/H28)*100</f>
        <v>-0.1907133619559</v>
      </c>
      <c r="S29" s="8" t="n">
        <v>1309.05</v>
      </c>
      <c r="V29" s="9" t="n">
        <f aca="false">K23-$V$4</f>
        <v>-2.79179862677536</v>
      </c>
      <c r="W29" s="9" t="n">
        <f aca="false">L23-$W$4</f>
        <v>-0.0494582904930769</v>
      </c>
      <c r="X29" s="9" t="n">
        <f aca="false">M23-$X$4</f>
        <v>-1.44694434149643</v>
      </c>
      <c r="Y29" s="9" t="n">
        <f aca="false">N23-$Y$4</f>
        <v>-0.17365461301645</v>
      </c>
      <c r="Z29" s="9" t="n">
        <f aca="false">O23-$Z$4</f>
        <v>-0.493187772190979</v>
      </c>
      <c r="AA29" s="9" t="n">
        <f aca="false">P23-$AA$4</f>
        <v>-0.520027857966524</v>
      </c>
      <c r="AB29" s="9" t="n">
        <f aca="false">Q23-$AB$4</f>
        <v>1.46512274333623</v>
      </c>
      <c r="AD29" s="16" t="s">
        <v>20</v>
      </c>
      <c r="AE29" s="19" t="n">
        <f aca="false">1/7</f>
        <v>0.142857142857143</v>
      </c>
      <c r="AF29" s="20"/>
    </row>
    <row r="30" customFormat="false" ht="15.75" hidden="false" customHeight="false" outlineLevel="0" collapsed="false">
      <c r="A30" s="7" t="n">
        <v>45330</v>
      </c>
      <c r="B30" s="8" t="n">
        <v>2902.95</v>
      </c>
      <c r="C30" s="9" t="n">
        <v>4134.1</v>
      </c>
      <c r="D30" s="9" t="n">
        <v>1685.9</v>
      </c>
      <c r="E30" s="8" t="n">
        <v>2423.05</v>
      </c>
      <c r="F30" s="9" t="n">
        <v>1142.15</v>
      </c>
      <c r="G30" s="11" t="n">
        <v>1369</v>
      </c>
      <c r="H30" s="12" t="n">
        <v>0.513397691</v>
      </c>
      <c r="I30" s="12"/>
      <c r="J30" s="12"/>
      <c r="K30" s="8" t="n">
        <f aca="false">((B30-B29)/B29)*100</f>
        <v>0.678019005340908</v>
      </c>
      <c r="L30" s="8" t="n">
        <f aca="false">((C30-C29)/C29)*100</f>
        <v>1.24161238183867</v>
      </c>
      <c r="M30" s="8" t="n">
        <f aca="false">((D30-D29)/D29)*100</f>
        <v>-2.03951191167925</v>
      </c>
      <c r="N30" s="8" t="n">
        <f aca="false">((E30-E29)/E29)*100</f>
        <v>-3.06248999839973</v>
      </c>
      <c r="O30" s="8" t="n">
        <f aca="false">((F30-F29)/F29)*100</f>
        <v>0.6920567751036</v>
      </c>
      <c r="P30" s="8" t="n">
        <f aca="false">((G30-G29)/G29)*100</f>
        <v>-0.436363636363636</v>
      </c>
      <c r="Q30" s="8" t="n">
        <f aca="false">((H30-H29)/H29)*100</f>
        <v>1.6408683369293</v>
      </c>
      <c r="S30" s="8" t="n">
        <v>1323.35</v>
      </c>
      <c r="V30" s="9" t="n">
        <f aca="false">K24-$V$4</f>
        <v>1.37779359626534</v>
      </c>
      <c r="W30" s="9" t="n">
        <f aca="false">L24-$W$4</f>
        <v>0.367585209120022</v>
      </c>
      <c r="X30" s="9" t="n">
        <f aca="false">M24-$X$4</f>
        <v>1.67673631090704</v>
      </c>
      <c r="Y30" s="9" t="n">
        <f aca="false">N24-$Y$4</f>
        <v>0.646276375218592</v>
      </c>
      <c r="Z30" s="9" t="n">
        <f aca="false">O24-$Z$4</f>
        <v>0.847981622536916</v>
      </c>
      <c r="AA30" s="9" t="n">
        <f aca="false">P24-$AA$4</f>
        <v>0.38120414016011</v>
      </c>
      <c r="AB30" s="9" t="n">
        <f aca="false">Q24-$AB$4</f>
        <v>-5.23282166036769</v>
      </c>
      <c r="AD30" s="16" t="s">
        <v>21</v>
      </c>
      <c r="AE30" s="19" t="n">
        <f aca="false">1/7</f>
        <v>0.142857142857143</v>
      </c>
      <c r="AF30" s="20"/>
    </row>
    <row r="31" customFormat="false" ht="15.75" hidden="false" customHeight="false" outlineLevel="0" collapsed="false">
      <c r="A31" s="7" t="n">
        <v>45331</v>
      </c>
      <c r="B31" s="8" t="n">
        <v>2922.3</v>
      </c>
      <c r="C31" s="9" t="n">
        <v>4133.7</v>
      </c>
      <c r="D31" s="9" t="n">
        <v>1646.4</v>
      </c>
      <c r="E31" s="8" t="n">
        <v>2450.1</v>
      </c>
      <c r="F31" s="9" t="n">
        <v>1120.25</v>
      </c>
      <c r="G31" s="11" t="n">
        <v>1365.6</v>
      </c>
      <c r="H31" s="12" t="n">
        <v>0.514070497</v>
      </c>
      <c r="I31" s="12"/>
      <c r="J31" s="12"/>
      <c r="K31" s="8" t="n">
        <f aca="false">((B31-B30)/B30)*100</f>
        <v>0.666563323515747</v>
      </c>
      <c r="L31" s="8" t="n">
        <f aca="false">((C31-C30)/C30)*100</f>
        <v>-0.00967562468253176</v>
      </c>
      <c r="M31" s="8" t="n">
        <f aca="false">((D31-D30)/D30)*100</f>
        <v>-2.34296221602705</v>
      </c>
      <c r="N31" s="8" t="n">
        <f aca="false">((E31-E30)/E30)*100</f>
        <v>1.11636161036709</v>
      </c>
      <c r="O31" s="8" t="n">
        <f aca="false">((F31-F30)/F30)*100</f>
        <v>-1.91743641378104</v>
      </c>
      <c r="P31" s="8" t="n">
        <f aca="false">((G31-G30)/G30)*100</f>
        <v>-0.248356464572687</v>
      </c>
      <c r="Q31" s="8" t="n">
        <f aca="false">((H31-H30)/H30)*100</f>
        <v>0.131049673926167</v>
      </c>
      <c r="S31" s="8" t="n">
        <v>1309</v>
      </c>
      <c r="V31" s="9" t="n">
        <f aca="false">K25-$V$4</f>
        <v>-0.00214776741927032</v>
      </c>
      <c r="W31" s="9" t="n">
        <f aca="false">L25-$W$4</f>
        <v>0.963442033907561</v>
      </c>
      <c r="X31" s="9" t="n">
        <f aca="false">M25-$X$4</f>
        <v>-0.272993282218029</v>
      </c>
      <c r="Y31" s="9" t="n">
        <f aca="false">N25-$Y$4</f>
        <v>-1.43784530570919</v>
      </c>
      <c r="Z31" s="9" t="n">
        <f aca="false">O25-$Z$4</f>
        <v>-1.85769194165556</v>
      </c>
      <c r="AA31" s="9" t="n">
        <f aca="false">P25-$AA$4</f>
        <v>-0.160639692822963</v>
      </c>
      <c r="AB31" s="9" t="n">
        <f aca="false">Q25-$AB$4</f>
        <v>-2.26803527243905</v>
      </c>
      <c r="AD31" s="16" t="s">
        <v>6</v>
      </c>
      <c r="AE31" s="19" t="n">
        <f aca="false">1/7</f>
        <v>0.142857142857143</v>
      </c>
      <c r="AF31" s="20"/>
    </row>
    <row r="32" customFormat="false" ht="15.75" hidden="false" customHeight="false" outlineLevel="0" collapsed="false">
      <c r="A32" s="7" t="n">
        <v>45334</v>
      </c>
      <c r="B32" s="8" t="n">
        <v>2902.95</v>
      </c>
      <c r="C32" s="9" t="n">
        <v>4120.7</v>
      </c>
      <c r="D32" s="9" t="n">
        <v>1660.45</v>
      </c>
      <c r="E32" s="8" t="n">
        <v>2459.05</v>
      </c>
      <c r="F32" s="9" t="n">
        <v>1118.7</v>
      </c>
      <c r="G32" s="11" t="n">
        <v>1376</v>
      </c>
      <c r="H32" s="12" t="n">
        <v>0.525879876</v>
      </c>
      <c r="I32" s="12"/>
      <c r="J32" s="12"/>
      <c r="K32" s="8" t="n">
        <f aca="false">((B32-B31)/B31)*100</f>
        <v>-0.662149676624589</v>
      </c>
      <c r="L32" s="8" t="n">
        <f aca="false">((C32-C31)/C31)*100</f>
        <v>-0.314488230882744</v>
      </c>
      <c r="M32" s="8" t="n">
        <f aca="false">((D32-D31)/D31)*100</f>
        <v>0.853377065111756</v>
      </c>
      <c r="N32" s="8" t="n">
        <f aca="false">((E32-E31)/E31)*100</f>
        <v>0.365291212603578</v>
      </c>
      <c r="O32" s="8" t="n">
        <f aca="false">((F32-F31)/F31)*100</f>
        <v>-0.13836197277393</v>
      </c>
      <c r="P32" s="8" t="n">
        <f aca="false">((G32-G31)/G31)*100</f>
        <v>0.761570005858238</v>
      </c>
      <c r="Q32" s="8" t="n">
        <f aca="false">((H32-H31)/H31)*100</f>
        <v>2.29722947901443</v>
      </c>
      <c r="S32" s="8" t="n">
        <v>1321.2</v>
      </c>
      <c r="V32" s="9" t="n">
        <f aca="false">K26-$V$4</f>
        <v>2.19050874672815</v>
      </c>
      <c r="W32" s="9" t="n">
        <f aca="false">L26-$W$4</f>
        <v>2.87223112022126</v>
      </c>
      <c r="X32" s="9" t="n">
        <f aca="false">M26-$X$4</f>
        <v>0.332639344818282</v>
      </c>
      <c r="Y32" s="9" t="n">
        <f aca="false">N26-$Y$4</f>
        <v>0.637594418594261</v>
      </c>
      <c r="Z32" s="9" t="n">
        <f aca="false">O26-$Z$4</f>
        <v>-0.226768181389784</v>
      </c>
      <c r="AA32" s="9" t="n">
        <f aca="false">P26-$AA$4</f>
        <v>-0.341470342967693</v>
      </c>
      <c r="AB32" s="9" t="n">
        <f aca="false">Q26-$AB$4</f>
        <v>-0.0515400780947322</v>
      </c>
      <c r="AD32" s="16" t="s">
        <v>22</v>
      </c>
      <c r="AE32" s="19" t="n">
        <f aca="false">1/7</f>
        <v>0.142857142857143</v>
      </c>
      <c r="AF32" s="20"/>
    </row>
    <row r="33" customFormat="false" ht="15.75" hidden="false" customHeight="false" outlineLevel="0" collapsed="false">
      <c r="A33" s="7" t="n">
        <v>45335</v>
      </c>
      <c r="B33" s="8" t="n">
        <v>2928.95</v>
      </c>
      <c r="C33" s="9" t="n">
        <v>4149.5</v>
      </c>
      <c r="D33" s="9" t="n">
        <v>1646.75</v>
      </c>
      <c r="E33" s="8" t="n">
        <v>2457.35</v>
      </c>
      <c r="F33" s="9" t="n">
        <v>1117.85</v>
      </c>
      <c r="G33" s="11" t="n">
        <v>1376.65</v>
      </c>
      <c r="H33" s="12" t="n">
        <v>0.532164296</v>
      </c>
      <c r="I33" s="12"/>
      <c r="J33" s="12"/>
      <c r="K33" s="8" t="n">
        <f aca="false">((B33-B32)/B32)*100</f>
        <v>0.89564064141649</v>
      </c>
      <c r="L33" s="8" t="n">
        <f aca="false">((C33-C32)/C32)*100</f>
        <v>0.698910379304492</v>
      </c>
      <c r="M33" s="8" t="n">
        <f aca="false">((D33-D32)/D32)*100</f>
        <v>-0.825077539221298</v>
      </c>
      <c r="N33" s="8" t="n">
        <f aca="false">((E33-E32)/E32)*100</f>
        <v>-0.0691323885240346</v>
      </c>
      <c r="O33" s="8" t="n">
        <f aca="false">((F33-F32)/F32)*100</f>
        <v>-0.0759810494323891</v>
      </c>
      <c r="P33" s="8" t="n">
        <f aca="false">((G33-G32)/G32)*100</f>
        <v>0.0472383720930299</v>
      </c>
      <c r="Q33" s="8" t="n">
        <f aca="false">((H33-H32)/H32)*100</f>
        <v>1.19502956602965</v>
      </c>
      <c r="S33" s="8" t="n">
        <v>1311.8</v>
      </c>
      <c r="V33" s="9" t="n">
        <f aca="false">K27-$V$4</f>
        <v>-1.27804497524614</v>
      </c>
      <c r="W33" s="9" t="n">
        <f aca="false">L27-$W$4</f>
        <v>0.13886760139708</v>
      </c>
      <c r="X33" s="9" t="n">
        <f aca="false">M27-$X$4</f>
        <v>2.32837526872963</v>
      </c>
      <c r="Y33" s="9" t="n">
        <f aca="false">N27-$Y$4</f>
        <v>-0.667110560352996</v>
      </c>
      <c r="Z33" s="9" t="n">
        <f aca="false">O27-$Z$4</f>
        <v>-3.42890052283977</v>
      </c>
      <c r="AA33" s="9" t="n">
        <f aca="false">P27-$AA$4</f>
        <v>-0.469589947425392</v>
      </c>
      <c r="AB33" s="9" t="n">
        <f aca="false">Q27-$AB$4</f>
        <v>-1.19972281638602</v>
      </c>
      <c r="AD33" s="19" t="s">
        <v>35</v>
      </c>
      <c r="AE33" s="19" t="n">
        <v>1</v>
      </c>
      <c r="AF33" s="20"/>
    </row>
    <row r="34" customFormat="false" ht="15.75" hidden="false" customHeight="false" outlineLevel="0" collapsed="false">
      <c r="A34" s="7" t="n">
        <v>45336</v>
      </c>
      <c r="B34" s="8" t="n">
        <v>2962.6</v>
      </c>
      <c r="C34" s="9" t="n">
        <v>4100.1</v>
      </c>
      <c r="D34" s="9" t="n">
        <v>1657.05</v>
      </c>
      <c r="E34" s="8" t="n">
        <v>2487</v>
      </c>
      <c r="F34" s="9" t="n">
        <v>1115.85</v>
      </c>
      <c r="G34" s="11" t="n">
        <v>1389.35</v>
      </c>
      <c r="H34" s="12" t="n">
        <v>0.525058032</v>
      </c>
      <c r="I34" s="12"/>
      <c r="J34" s="12"/>
      <c r="K34" s="8" t="n">
        <f aca="false">((B34-B33)/B33)*100</f>
        <v>1.14887587702078</v>
      </c>
      <c r="L34" s="8" t="n">
        <f aca="false">((C34-C33)/C33)*100</f>
        <v>-1.19050488010603</v>
      </c>
      <c r="M34" s="8" t="n">
        <f aca="false">((D34-D33)/D33)*100</f>
        <v>0.625474419310761</v>
      </c>
      <c r="N34" s="8" t="n">
        <f aca="false">((E34-E33)/E33)*100</f>
        <v>1.20658432864672</v>
      </c>
      <c r="O34" s="8" t="n">
        <f aca="false">((F34-F33)/F33)*100</f>
        <v>-0.178914881245248</v>
      </c>
      <c r="P34" s="8" t="n">
        <f aca="false">((G34-G33)/G33)*100</f>
        <v>0.92252932844222</v>
      </c>
      <c r="Q34" s="8" t="n">
        <f aca="false">((H34-H33)/H33)*100</f>
        <v>-1.33535151708111</v>
      </c>
      <c r="S34" s="8" t="n">
        <v>1295.15</v>
      </c>
      <c r="V34" s="9" t="n">
        <f aca="false">K28-$V$4</f>
        <v>-0.688469537366457</v>
      </c>
      <c r="W34" s="9" t="n">
        <f aca="false">L28-$W$4</f>
        <v>4.0572137095905</v>
      </c>
      <c r="X34" s="9" t="n">
        <f aca="false">M28-$X$4</f>
        <v>1.16591923750038</v>
      </c>
      <c r="Y34" s="9" t="n">
        <f aca="false">N28-$Y$4</f>
        <v>-0.159169052175656</v>
      </c>
      <c r="Z34" s="9" t="n">
        <f aca="false">O28-$Z$4</f>
        <v>1.64893726503025</v>
      </c>
      <c r="AA34" s="9" t="n">
        <f aca="false">P28-$AA$4</f>
        <v>-0.544814145812272</v>
      </c>
      <c r="AB34" s="9" t="n">
        <f aca="false">Q28-$AB$4</f>
        <v>-0.131944193906239</v>
      </c>
      <c r="AD34" s="20"/>
      <c r="AE34" s="20"/>
      <c r="AF34" s="20"/>
    </row>
    <row r="35" customFormat="false" ht="15.75" hidden="false" customHeight="false" outlineLevel="0" collapsed="false">
      <c r="A35" s="7" t="n">
        <v>45337</v>
      </c>
      <c r="B35" s="8" t="n">
        <v>2941.9</v>
      </c>
      <c r="C35" s="9" t="n">
        <v>4103.2</v>
      </c>
      <c r="D35" s="9" t="n">
        <v>1765.05</v>
      </c>
      <c r="E35" s="8" t="n">
        <v>2453.55</v>
      </c>
      <c r="F35" s="9" t="n">
        <v>1120.7</v>
      </c>
      <c r="G35" s="11" t="n">
        <v>1387</v>
      </c>
      <c r="H35" s="12" t="n">
        <v>0.538165079</v>
      </c>
      <c r="I35" s="12"/>
      <c r="J35" s="12"/>
      <c r="K35" s="8" t="n">
        <f aca="false">((B35-B34)/B34)*100</f>
        <v>-0.69871059204752</v>
      </c>
      <c r="L35" s="8" t="n">
        <f aca="false">((C35-C34)/C34)*100</f>
        <v>0.075607912002133</v>
      </c>
      <c r="M35" s="8" t="n">
        <f aca="false">((D35-D34)/D34)*100</f>
        <v>6.51760659002444</v>
      </c>
      <c r="N35" s="8" t="n">
        <f aca="false">((E35-E34)/E34)*100</f>
        <v>-1.3449939686369</v>
      </c>
      <c r="O35" s="8" t="n">
        <f aca="false">((F35-F34)/F34)*100</f>
        <v>0.434646233812801</v>
      </c>
      <c r="P35" s="8" t="n">
        <f aca="false">((G35-G34)/G34)*100</f>
        <v>-0.169143844243705</v>
      </c>
      <c r="Q35" s="8" t="n">
        <f aca="false">((H35-H34)/H34)*100</f>
        <v>2.49630444659115</v>
      </c>
      <c r="S35" s="8" t="n">
        <v>1284.95</v>
      </c>
      <c r="V35" s="9" t="n">
        <f aca="false">K29-$V$4</f>
        <v>0.94648814936179</v>
      </c>
      <c r="W35" s="9" t="n">
        <f aca="false">L29-$W$4</f>
        <v>-1.30937945549242</v>
      </c>
      <c r="X35" s="9" t="n">
        <f aca="false">M29-$X$4</f>
        <v>-0.633689536047325</v>
      </c>
      <c r="Y35" s="9" t="n">
        <f aca="false">N29-$Y$4</f>
        <v>1.83481207039922</v>
      </c>
      <c r="Z35" s="9" t="n">
        <f aca="false">O29-$Z$4</f>
        <v>-0.169976946374131</v>
      </c>
      <c r="AA35" s="9" t="n">
        <f aca="false">P29-$AA$4</f>
        <v>0.715256342355386</v>
      </c>
      <c r="AB35" s="9" t="n">
        <f aca="false">Q29-$AB$4</f>
        <v>-0.869971078359049</v>
      </c>
      <c r="AD35" s="19" t="s">
        <v>36</v>
      </c>
      <c r="AE35" s="20" t="n">
        <f aca="false" t="array" ref="AE35:AE35">MMULT(TRANSPOSE(AE26:AE32),AE17:AE23)</f>
        <v>54.0335195422874</v>
      </c>
      <c r="AF35" s="20"/>
    </row>
    <row r="36" customFormat="false" ht="15.75" hidden="false" customHeight="false" outlineLevel="0" collapsed="false">
      <c r="A36" s="7" t="n">
        <v>45338</v>
      </c>
      <c r="B36" s="8" t="n">
        <v>2921.35</v>
      </c>
      <c r="C36" s="9" t="n">
        <v>4128.3</v>
      </c>
      <c r="D36" s="9" t="n">
        <v>1835.55</v>
      </c>
      <c r="E36" s="8" t="n">
        <v>2487.65</v>
      </c>
      <c r="F36" s="9" t="n">
        <v>1120</v>
      </c>
      <c r="G36" s="11" t="n">
        <v>1377.65</v>
      </c>
      <c r="H36" s="12" t="n">
        <v>0.562670832</v>
      </c>
      <c r="I36" s="12"/>
      <c r="J36" s="12"/>
      <c r="K36" s="8" t="n">
        <f aca="false">((B36-B35)/B35)*100</f>
        <v>-0.698528162072136</v>
      </c>
      <c r="L36" s="8" t="n">
        <f aca="false">((C36-C35)/C35)*100</f>
        <v>0.611717683759026</v>
      </c>
      <c r="M36" s="8" t="n">
        <f aca="false">((D36-D35)/D35)*100</f>
        <v>3.99422112688026</v>
      </c>
      <c r="N36" s="8" t="n">
        <f aca="false">((E36-E35)/E35)*100</f>
        <v>1.38982290966151</v>
      </c>
      <c r="O36" s="8" t="n">
        <f aca="false">((F36-F35)/F35)*100</f>
        <v>-0.0624609618988173</v>
      </c>
      <c r="P36" s="8" t="n">
        <f aca="false">((G36-G35)/G35)*100</f>
        <v>-0.674116798846425</v>
      </c>
      <c r="Q36" s="8" t="n">
        <f aca="false">((H36-H35)/H35)*100</f>
        <v>4.55357546527095</v>
      </c>
      <c r="S36" s="8" t="n">
        <v>1278.1</v>
      </c>
      <c r="V36" s="9" t="n">
        <f aca="false">K30-$V$4</f>
        <v>0.693395421294692</v>
      </c>
      <c r="W36" s="9" t="n">
        <f aca="false">L30-$W$4</f>
        <v>1.20399308108513</v>
      </c>
      <c r="X36" s="9" t="n">
        <f aca="false">M30-$X$4</f>
        <v>-2.28828552146836</v>
      </c>
      <c r="Y36" s="9" t="n">
        <f aca="false">N30-$Y$4</f>
        <v>-2.97599372390142</v>
      </c>
      <c r="Z36" s="9" t="n">
        <f aca="false">O30-$Z$4</f>
        <v>0.500034945346902</v>
      </c>
      <c r="AA36" s="9" t="n">
        <f aca="false">P30-$AA$4</f>
        <v>-0.41682314900642</v>
      </c>
      <c r="AB36" s="9" t="n">
        <f aca="false">Q30-$AB$4</f>
        <v>0.961610620526147</v>
      </c>
      <c r="AD36" s="19" t="s">
        <v>37</v>
      </c>
      <c r="AE36" s="20" t="e">
        <f aca="false" t="array" ref="AE36:AE36">SQRT(MMULT(MMULT(TRANSPOSE(AE26:AE32),_xlfn.anchorarray(AE5)),AE26:AE32))</f>
        <v>#NAME?</v>
      </c>
      <c r="AF36" s="20"/>
    </row>
    <row r="37" customFormat="false" ht="15.75" hidden="false" customHeight="false" outlineLevel="0" collapsed="false">
      <c r="A37" s="7" t="n">
        <v>45341</v>
      </c>
      <c r="B37" s="8" t="n">
        <v>2946.15</v>
      </c>
      <c r="C37" s="9" t="n">
        <v>4103.8</v>
      </c>
      <c r="D37" s="9" t="n">
        <v>1848.55</v>
      </c>
      <c r="E37" s="8" t="n">
        <v>2513.25</v>
      </c>
      <c r="F37" s="9" t="n">
        <v>1142.2</v>
      </c>
      <c r="G37" s="11" t="n">
        <v>1380</v>
      </c>
      <c r="H37" s="12" t="n">
        <v>0.556998951</v>
      </c>
      <c r="I37" s="12"/>
      <c r="J37" s="12"/>
      <c r="K37" s="8" t="n">
        <f aca="false">((B37-B36)/B36)*100</f>
        <v>0.848922587160052</v>
      </c>
      <c r="L37" s="8" t="n">
        <f aca="false">((C37-C36)/C36)*100</f>
        <v>-0.593464622241601</v>
      </c>
      <c r="M37" s="8" t="n">
        <f aca="false">((D37-D36)/D36)*100</f>
        <v>0.708234589087739</v>
      </c>
      <c r="N37" s="8" t="n">
        <f aca="false">((E37-E36)/E36)*100</f>
        <v>1.02908367334633</v>
      </c>
      <c r="O37" s="8" t="n">
        <f aca="false">((F37-F36)/F36)*100</f>
        <v>1.98214285714286</v>
      </c>
      <c r="P37" s="8" t="n">
        <f aca="false">((G37-G36)/G36)*100</f>
        <v>0.170580336079549</v>
      </c>
      <c r="Q37" s="8" t="n">
        <f aca="false">((H37-H36)/H36)*100</f>
        <v>-1.00802826047326</v>
      </c>
      <c r="S37" s="8" t="n">
        <v>1263.85</v>
      </c>
      <c r="V37" s="9" t="n">
        <f aca="false">K31-$V$4</f>
        <v>0.681939739469531</v>
      </c>
      <c r="W37" s="9" t="n">
        <f aca="false">L31-$W$4</f>
        <v>-0.0472949254360712</v>
      </c>
      <c r="X37" s="9" t="n">
        <f aca="false">M31-$X$4</f>
        <v>-2.59173582581616</v>
      </c>
      <c r="Y37" s="9" t="n">
        <f aca="false">N31-$Y$4</f>
        <v>1.2028578848654</v>
      </c>
      <c r="Z37" s="9" t="n">
        <f aca="false">O31-$Z$4</f>
        <v>-2.10945824353773</v>
      </c>
      <c r="AA37" s="9" t="n">
        <f aca="false">P31-$AA$4</f>
        <v>-0.228815977215471</v>
      </c>
      <c r="AB37" s="9" t="n">
        <f aca="false">Q31-$AB$4</f>
        <v>-0.548208042476982</v>
      </c>
      <c r="AD37" s="19" t="s">
        <v>38</v>
      </c>
      <c r="AE37" s="20" t="e">
        <f aca="false">(AE35-AD14)/AE36</f>
        <v>#NAME?</v>
      </c>
      <c r="AF37" s="20"/>
    </row>
    <row r="38" customFormat="false" ht="15.75" hidden="false" customHeight="false" outlineLevel="0" collapsed="false">
      <c r="A38" s="7" t="n">
        <v>45342</v>
      </c>
      <c r="B38" s="8" t="n">
        <v>2940.75</v>
      </c>
      <c r="C38" s="9" t="n">
        <v>4030.65</v>
      </c>
      <c r="D38" s="9" t="n">
        <v>1853.65</v>
      </c>
      <c r="E38" s="8" t="n">
        <v>2539.4</v>
      </c>
      <c r="F38" s="9" t="n">
        <v>1143.95</v>
      </c>
      <c r="G38" s="11" t="n">
        <v>1406.65</v>
      </c>
      <c r="H38" s="12" t="n">
        <v>0.562361025</v>
      </c>
      <c r="I38" s="12"/>
      <c r="J38" s="12"/>
      <c r="K38" s="8" t="n">
        <f aca="false">((B38-B37)/B37)*100</f>
        <v>-0.183290056514437</v>
      </c>
      <c r="L38" s="8" t="n">
        <f aca="false">((C38-C37)/C37)*100</f>
        <v>-1.78249427360008</v>
      </c>
      <c r="M38" s="8" t="n">
        <f aca="false">((D38-D37)/D37)*100</f>
        <v>0.27589191528496</v>
      </c>
      <c r="N38" s="8" t="n">
        <f aca="false">((E38-E37)/E37)*100</f>
        <v>1.04048542723565</v>
      </c>
      <c r="O38" s="8" t="n">
        <f aca="false">((F38-F37)/F37)*100</f>
        <v>0.15321309753108</v>
      </c>
      <c r="P38" s="8" t="n">
        <f aca="false">((G38-G37)/G37)*100</f>
        <v>1.93115942028986</v>
      </c>
      <c r="Q38" s="8" t="n">
        <f aca="false">((H38-H37)/H37)*100</f>
        <v>0.962672190023567</v>
      </c>
      <c r="S38" s="8" t="n">
        <v>1273.35</v>
      </c>
      <c r="V38" s="9" t="n">
        <f aca="false">K32-$V$4</f>
        <v>-0.646773260670805</v>
      </c>
      <c r="W38" s="9" t="n">
        <f aca="false">L32-$W$4</f>
        <v>-0.352107531636284</v>
      </c>
      <c r="X38" s="9" t="n">
        <f aca="false">M32-$X$4</f>
        <v>0.604603455322649</v>
      </c>
      <c r="Y38" s="9" t="n">
        <f aca="false">N32-$Y$4</f>
        <v>0.451787487101887</v>
      </c>
      <c r="Z38" s="9" t="n">
        <f aca="false">O32-$Z$4</f>
        <v>-0.330383802530628</v>
      </c>
      <c r="AA38" s="9" t="n">
        <f aca="false">P32-$AA$4</f>
        <v>0.781110493215454</v>
      </c>
      <c r="AB38" s="9" t="n">
        <f aca="false">Q32-$AB$4</f>
        <v>1.61797176261128</v>
      </c>
    </row>
    <row r="39" customFormat="false" ht="15.75" hidden="false" customHeight="false" outlineLevel="0" collapsed="false">
      <c r="A39" s="7" t="n">
        <v>45343</v>
      </c>
      <c r="B39" s="8" t="n">
        <v>2938.2</v>
      </c>
      <c r="C39" s="9" t="n">
        <v>3991.5</v>
      </c>
      <c r="D39" s="9" t="n">
        <v>1859.65</v>
      </c>
      <c r="E39" s="8" t="n">
        <v>2543.6</v>
      </c>
      <c r="F39" s="9" t="n">
        <v>1139.9</v>
      </c>
      <c r="G39" s="11" t="n">
        <v>1427.65</v>
      </c>
      <c r="H39" s="12" t="n">
        <v>0.563291173</v>
      </c>
      <c r="I39" s="12"/>
      <c r="J39" s="12"/>
      <c r="K39" s="8" t="n">
        <f aca="false">((B39-B38)/B38)*100</f>
        <v>-0.0867125733231381</v>
      </c>
      <c r="L39" s="8" t="n">
        <f aca="false">((C39-C38)/C38)*100</f>
        <v>-0.971307357374123</v>
      </c>
      <c r="M39" s="8" t="n">
        <f aca="false">((D39-D38)/D38)*100</f>
        <v>0.32368570118415</v>
      </c>
      <c r="N39" s="8" t="n">
        <f aca="false">((E39-E38)/E38)*100</f>
        <v>0.165393400015745</v>
      </c>
      <c r="O39" s="8" t="n">
        <f aca="false">((F39-F38)/F38)*100</f>
        <v>-0.354036452642157</v>
      </c>
      <c r="P39" s="8" t="n">
        <f aca="false">((G39-G38)/G38)*100</f>
        <v>1.49290868375218</v>
      </c>
      <c r="Q39" s="8" t="n">
        <f aca="false">((H39-H38)/H38)*100</f>
        <v>0.16540050939697</v>
      </c>
      <c r="S39" s="8" t="n">
        <v>1268.05</v>
      </c>
      <c r="V39" s="9" t="n">
        <f aca="false">K33-$V$4</f>
        <v>0.911017057370275</v>
      </c>
      <c r="W39" s="9" t="n">
        <f aca="false">L33-$W$4</f>
        <v>0.661291078550952</v>
      </c>
      <c r="X39" s="9" t="n">
        <f aca="false">M33-$X$4</f>
        <v>-1.07385114901041</v>
      </c>
      <c r="Y39" s="9" t="n">
        <f aca="false">N33-$Y$4</f>
        <v>0.0173638859742742</v>
      </c>
      <c r="Z39" s="9" t="n">
        <f aca="false">O33-$Z$4</f>
        <v>-0.268002879189087</v>
      </c>
      <c r="AA39" s="9" t="n">
        <f aca="false">P33-$AA$4</f>
        <v>0.0667788594502466</v>
      </c>
      <c r="AB39" s="9" t="n">
        <f aca="false">Q33-$AB$4</f>
        <v>0.515771849626503</v>
      </c>
      <c r="AD39" s="19" t="s">
        <v>39</v>
      </c>
      <c r="AE39" s="20"/>
      <c r="AF39" s="20"/>
    </row>
    <row r="40" customFormat="false" ht="15.75" hidden="false" customHeight="false" outlineLevel="0" collapsed="false">
      <c r="A40" s="7" t="n">
        <v>45344</v>
      </c>
      <c r="B40" s="8" t="n">
        <v>2963.35</v>
      </c>
      <c r="C40" s="9" t="n">
        <v>4087.1</v>
      </c>
      <c r="D40" s="9" t="n">
        <v>1910.35</v>
      </c>
      <c r="E40" s="8" t="n">
        <v>2563.15</v>
      </c>
      <c r="F40" s="9" t="n">
        <v>1135.55</v>
      </c>
      <c r="G40" s="11" t="n">
        <v>1455.5</v>
      </c>
      <c r="H40" s="12" t="n">
        <v>0.549480998</v>
      </c>
      <c r="I40" s="12"/>
      <c r="J40" s="12"/>
      <c r="K40" s="8" t="n">
        <f aca="false">((B40-B39)/B39)*100</f>
        <v>0.85596623783269</v>
      </c>
      <c r="L40" s="8" t="n">
        <f aca="false">((C40-C39)/C39)*100</f>
        <v>2.39508956532632</v>
      </c>
      <c r="M40" s="8" t="n">
        <f aca="false">((D40-D39)/D39)*100</f>
        <v>2.72631946871722</v>
      </c>
      <c r="N40" s="8" t="n">
        <f aca="false">((E40-E39)/E39)*100</f>
        <v>0.768595691146414</v>
      </c>
      <c r="O40" s="8" t="n">
        <f aca="false">((F40-F39)/F39)*100</f>
        <v>-0.381612422142305</v>
      </c>
      <c r="P40" s="8" t="n">
        <f aca="false">((G40-G39)/G39)*100</f>
        <v>1.95075823906419</v>
      </c>
      <c r="Q40" s="8" t="n">
        <f aca="false">((H40-H39)/H39)*100</f>
        <v>-2.45169384182768</v>
      </c>
      <c r="S40" s="8" t="n">
        <v>1245.1</v>
      </c>
      <c r="V40" s="9" t="n">
        <f aca="false">K34-$V$4</f>
        <v>1.16425229297456</v>
      </c>
      <c r="W40" s="9" t="n">
        <f aca="false">L34-$W$4</f>
        <v>-1.22812418085957</v>
      </c>
      <c r="X40" s="9" t="n">
        <f aca="false">M34-$X$4</f>
        <v>0.376700809521654</v>
      </c>
      <c r="Y40" s="9" t="n">
        <f aca="false">N34-$Y$4</f>
        <v>1.29308060314503</v>
      </c>
      <c r="Z40" s="9" t="n">
        <f aca="false">O34-$Z$4</f>
        <v>-0.370936711001946</v>
      </c>
      <c r="AA40" s="9" t="n">
        <f aca="false">P34-$AA$4</f>
        <v>0.942069815799436</v>
      </c>
      <c r="AB40" s="9" t="n">
        <f aca="false">Q34-$AB$4</f>
        <v>-2.01460923348426</v>
      </c>
      <c r="AD40" s="16" t="s">
        <v>17</v>
      </c>
      <c r="AE40" s="19" t="n">
        <v>0</v>
      </c>
      <c r="AF40" s="20"/>
    </row>
    <row r="41" customFormat="false" ht="15.75" hidden="false" customHeight="false" outlineLevel="0" collapsed="false">
      <c r="A41" s="7" t="n">
        <v>45345</v>
      </c>
      <c r="B41" s="8" t="n">
        <v>2986.35</v>
      </c>
      <c r="C41" s="9" t="n">
        <v>4052.1</v>
      </c>
      <c r="D41" s="9" t="n">
        <v>1929.95</v>
      </c>
      <c r="E41" s="8" t="n">
        <v>2579</v>
      </c>
      <c r="F41" s="9" t="n">
        <v>1125.75</v>
      </c>
      <c r="G41" s="11" t="n">
        <v>1453.6</v>
      </c>
      <c r="H41" s="12" t="n">
        <v>0.541190408</v>
      </c>
      <c r="I41" s="12"/>
      <c r="J41" s="12"/>
      <c r="K41" s="8" t="n">
        <f aca="false">((B41-B40)/B40)*100</f>
        <v>0.776148615587089</v>
      </c>
      <c r="L41" s="8" t="n">
        <f aca="false">((C41-C40)/C40)*100</f>
        <v>-0.856352915269996</v>
      </c>
      <c r="M41" s="8" t="n">
        <f aca="false">((D41-D40)/D40)*100</f>
        <v>1.02599000183213</v>
      </c>
      <c r="N41" s="8" t="n">
        <f aca="false">((E41-E40)/E40)*100</f>
        <v>0.618379728068974</v>
      </c>
      <c r="O41" s="8" t="n">
        <f aca="false">((F41-F40)/F40)*100</f>
        <v>-0.863017920831311</v>
      </c>
      <c r="P41" s="8" t="n">
        <f aca="false">((G41-G40)/G40)*100</f>
        <v>-0.130539333562356</v>
      </c>
      <c r="Q41" s="8" t="n">
        <f aca="false">((H41-H40)/H40)*100</f>
        <v>-1.50880376758726</v>
      </c>
      <c r="S41" s="8" t="n">
        <v>1253.05</v>
      </c>
      <c r="V41" s="9" t="n">
        <f aca="false">K35-$V$4</f>
        <v>-0.683334176093735</v>
      </c>
      <c r="W41" s="9" t="n">
        <f aca="false">L35-$W$4</f>
        <v>0.0379886112485935</v>
      </c>
      <c r="X41" s="9" t="n">
        <f aca="false">M35-$X$4</f>
        <v>6.26883298023533</v>
      </c>
      <c r="Y41" s="9" t="n">
        <f aca="false">N35-$Y$4</f>
        <v>-1.2584976941386</v>
      </c>
      <c r="Z41" s="9" t="n">
        <f aca="false">O35-$Z$4</f>
        <v>0.242624404056103</v>
      </c>
      <c r="AA41" s="9" t="n">
        <f aca="false">P35-$AA$4</f>
        <v>-0.149603356886488</v>
      </c>
      <c r="AB41" s="9" t="n">
        <f aca="false">Q35-$AB$4</f>
        <v>1.817046730188</v>
      </c>
      <c r="AD41" s="16" t="s">
        <v>18</v>
      </c>
      <c r="AE41" s="19" t="n">
        <v>0</v>
      </c>
      <c r="AF41" s="20"/>
    </row>
    <row r="42" customFormat="false" ht="15.75" hidden="false" customHeight="false" outlineLevel="0" collapsed="false">
      <c r="A42" s="7" t="n">
        <v>45348</v>
      </c>
      <c r="B42" s="8" t="n">
        <v>2974.35</v>
      </c>
      <c r="C42" s="9" t="n">
        <v>4001.05</v>
      </c>
      <c r="D42" s="9" t="n">
        <v>1929.8</v>
      </c>
      <c r="E42" s="8" t="n">
        <v>2583.9</v>
      </c>
      <c r="F42" s="9" t="n">
        <v>1110.05</v>
      </c>
      <c r="G42" s="11" t="n">
        <v>1445.6</v>
      </c>
      <c r="H42" s="12" t="n">
        <v>0.542607898</v>
      </c>
      <c r="I42" s="12"/>
      <c r="J42" s="12"/>
      <c r="K42" s="8" t="n">
        <f aca="false">((B42-B41)/B41)*100</f>
        <v>-0.401828318850771</v>
      </c>
      <c r="L42" s="8" t="n">
        <f aca="false">((C42-C41)/C41)*100</f>
        <v>-1.2598405764912</v>
      </c>
      <c r="M42" s="8" t="n">
        <f aca="false">((D42-D41)/D41)*100</f>
        <v>-0.0077722220782969</v>
      </c>
      <c r="N42" s="8" t="n">
        <f aca="false">((E42-E41)/E41)*100</f>
        <v>0.189996122528115</v>
      </c>
      <c r="O42" s="8" t="n">
        <f aca="false">((F42-F41)/F41)*100</f>
        <v>-1.39462580501888</v>
      </c>
      <c r="P42" s="8" t="n">
        <f aca="false">((G42-G41)/G41)*100</f>
        <v>-0.550357732526142</v>
      </c>
      <c r="Q42" s="8" t="n">
        <f aca="false">((H42-H41)/H41)*100</f>
        <v>0.261920754515668</v>
      </c>
      <c r="S42" s="8" t="n">
        <v>1230.6</v>
      </c>
      <c r="V42" s="9" t="n">
        <f aca="false">K36-$V$4</f>
        <v>-0.683151746118352</v>
      </c>
      <c r="W42" s="9" t="n">
        <f aca="false">L36-$W$4</f>
        <v>0.574098383005487</v>
      </c>
      <c r="X42" s="9" t="n">
        <f aca="false">M36-$X$4</f>
        <v>3.74544751709115</v>
      </c>
      <c r="Y42" s="9" t="n">
        <f aca="false">N36-$Y$4</f>
        <v>1.47631918415982</v>
      </c>
      <c r="Z42" s="9" t="n">
        <f aca="false">O36-$Z$4</f>
        <v>-0.254482791655515</v>
      </c>
      <c r="AA42" s="9" t="n">
        <f aca="false">P36-$AA$4</f>
        <v>-0.654576311489208</v>
      </c>
      <c r="AB42" s="9" t="n">
        <f aca="false">Q36-$AB$4</f>
        <v>3.8743177488678</v>
      </c>
      <c r="AD42" s="16" t="s">
        <v>29</v>
      </c>
      <c r="AE42" s="19" t="n">
        <v>0.35476979173471</v>
      </c>
      <c r="AF42" s="20"/>
    </row>
    <row r="43" customFormat="false" ht="15.75" hidden="false" customHeight="false" outlineLevel="0" collapsed="false">
      <c r="A43" s="7" t="n">
        <v>45349</v>
      </c>
      <c r="B43" s="8" t="n">
        <v>2970.4</v>
      </c>
      <c r="C43" s="9" t="n">
        <v>4104.4</v>
      </c>
      <c r="D43" s="9" t="n">
        <v>1950.6</v>
      </c>
      <c r="E43" s="8" t="n">
        <v>2598.7</v>
      </c>
      <c r="F43" s="9" t="n">
        <v>1127.5</v>
      </c>
      <c r="G43" s="11" t="n">
        <v>1452</v>
      </c>
      <c r="H43" s="12" t="n">
        <v>0.551300304</v>
      </c>
      <c r="I43" s="12"/>
      <c r="J43" s="12"/>
      <c r="K43" s="8" t="n">
        <f aca="false">((B43-B42)/B42)*100</f>
        <v>-0.132802124833991</v>
      </c>
      <c r="L43" s="8" t="n">
        <f aca="false">((C43-C42)/C42)*100</f>
        <v>2.58307194361479</v>
      </c>
      <c r="M43" s="8" t="n">
        <f aca="false">((D43-D42)/D42)*100</f>
        <v>1.07783189967872</v>
      </c>
      <c r="N43" s="8" t="n">
        <f aca="false">((E43-E42)/E42)*100</f>
        <v>0.572777584271827</v>
      </c>
      <c r="O43" s="8" t="n">
        <f aca="false">((F43-F42)/F42)*100</f>
        <v>1.57200126120445</v>
      </c>
      <c r="P43" s="8" t="n">
        <f aca="false">((G43-G42)/G42)*100</f>
        <v>0.442722744881025</v>
      </c>
      <c r="Q43" s="8" t="n">
        <f aca="false">((H43-H42)/H42)*100</f>
        <v>1.60196820430358</v>
      </c>
      <c r="S43" s="8" t="n">
        <v>1206</v>
      </c>
      <c r="V43" s="9" t="n">
        <f aca="false">K37-$V$4</f>
        <v>0.864299003113837</v>
      </c>
      <c r="W43" s="9" t="n">
        <f aca="false">L37-$W$4</f>
        <v>-0.63108392299514</v>
      </c>
      <c r="X43" s="9" t="n">
        <f aca="false">M37-$X$4</f>
        <v>0.459460979298632</v>
      </c>
      <c r="Y43" s="9" t="n">
        <f aca="false">N37-$Y$4</f>
        <v>1.11557994784464</v>
      </c>
      <c r="Z43" s="9" t="n">
        <f aca="false">O37-$Z$4</f>
        <v>1.79012102738616</v>
      </c>
      <c r="AA43" s="9" t="n">
        <f aca="false">P37-$AA$4</f>
        <v>0.190120823436766</v>
      </c>
      <c r="AB43" s="9" t="n">
        <f aca="false">Q37-$AB$4</f>
        <v>-1.68728597687641</v>
      </c>
      <c r="AD43" s="16" t="s">
        <v>20</v>
      </c>
      <c r="AE43" s="19" t="n">
        <v>0</v>
      </c>
      <c r="AF43" s="20"/>
    </row>
    <row r="44" customFormat="false" ht="15.75" hidden="false" customHeight="false" outlineLevel="0" collapsed="false">
      <c r="A44" s="7" t="n">
        <v>45350</v>
      </c>
      <c r="B44" s="8" t="n">
        <v>2909</v>
      </c>
      <c r="C44" s="9" t="n">
        <v>4118.95</v>
      </c>
      <c r="D44" s="9" t="n">
        <v>1901.65</v>
      </c>
      <c r="E44" s="8" t="n">
        <v>2570.9</v>
      </c>
      <c r="F44" s="9" t="n">
        <v>1128.75</v>
      </c>
      <c r="G44" s="11" t="n">
        <v>1469.5</v>
      </c>
      <c r="H44" s="12" t="n">
        <v>0.587375369</v>
      </c>
      <c r="I44" s="12"/>
      <c r="J44" s="12"/>
      <c r="K44" s="8" t="n">
        <f aca="false">((B44-B43)/B43)*100</f>
        <v>-2.06706167519526</v>
      </c>
      <c r="L44" s="8" t="n">
        <f aca="false">((C44-C43)/C43)*100</f>
        <v>0.354497612318492</v>
      </c>
      <c r="M44" s="8" t="n">
        <f aca="false">((D44-D43)/D43)*100</f>
        <v>-2.50948426125294</v>
      </c>
      <c r="N44" s="8" t="n">
        <f aca="false">((E44-E43)/E43)*100</f>
        <v>-1.06976565205679</v>
      </c>
      <c r="O44" s="8" t="n">
        <f aca="false">((F44-F43)/F43)*100</f>
        <v>0.110864745011086</v>
      </c>
      <c r="P44" s="8" t="n">
        <f aca="false">((G44-G43)/G43)*100</f>
        <v>1.20523415977961</v>
      </c>
      <c r="Q44" s="8" t="n">
        <f aca="false">((H44-H43)/H43)*100</f>
        <v>6.54363234307232</v>
      </c>
      <c r="S44" s="8" t="n">
        <v>1222.1</v>
      </c>
      <c r="V44" s="9" t="n">
        <f aca="false">K38-$V$4</f>
        <v>-0.167913640560653</v>
      </c>
      <c r="W44" s="9" t="n">
        <f aca="false">L38-$W$4</f>
        <v>-1.82011357435362</v>
      </c>
      <c r="X44" s="9" t="n">
        <f aca="false">M38-$X$4</f>
        <v>0.0271183054958531</v>
      </c>
      <c r="Y44" s="9" t="n">
        <f aca="false">N38-$Y$4</f>
        <v>1.12698170173396</v>
      </c>
      <c r="Z44" s="9" t="n">
        <f aca="false">O38-$Z$4</f>
        <v>-0.0388087322256175</v>
      </c>
      <c r="AA44" s="9" t="n">
        <f aca="false">P38-$AA$4</f>
        <v>1.95069990764708</v>
      </c>
      <c r="AB44" s="9" t="n">
        <f aca="false">Q38-$AB$4</f>
        <v>0.283414473620418</v>
      </c>
      <c r="AD44" s="16" t="s">
        <v>21</v>
      </c>
      <c r="AE44" s="19" t="n">
        <v>0.535439955378976</v>
      </c>
      <c r="AF44" s="20"/>
    </row>
    <row r="45" customFormat="false" ht="15.75" hidden="false" customHeight="false" outlineLevel="0" collapsed="false">
      <c r="A45" s="7" t="n">
        <v>45351</v>
      </c>
      <c r="B45" s="8" t="n">
        <v>2924.75</v>
      </c>
      <c r="C45" s="9" t="n">
        <v>4095.1</v>
      </c>
      <c r="D45" s="9" t="n">
        <v>1932.4</v>
      </c>
      <c r="E45" s="8" t="n">
        <v>2596.2</v>
      </c>
      <c r="F45" s="9" t="n">
        <v>1123.35</v>
      </c>
      <c r="G45" s="11" t="n">
        <v>1463.8</v>
      </c>
      <c r="H45" s="12" t="n">
        <v>0.576529222</v>
      </c>
      <c r="I45" s="12"/>
      <c r="J45" s="12"/>
      <c r="K45" s="8" t="n">
        <f aca="false">((B45-B44)/B44)*100</f>
        <v>0.541423169474046</v>
      </c>
      <c r="L45" s="8" t="n">
        <f aca="false">((C45-C44)/C44)*100</f>
        <v>-0.579031063741971</v>
      </c>
      <c r="M45" s="8" t="n">
        <f aca="false">((D45-D44)/D44)*100</f>
        <v>1.61701680119896</v>
      </c>
      <c r="N45" s="8" t="n">
        <f aca="false">((E45-E44)/E44)*100</f>
        <v>0.984091174296928</v>
      </c>
      <c r="O45" s="8" t="n">
        <f aca="false">((F45-F44)/F44)*100</f>
        <v>-0.478405315614626</v>
      </c>
      <c r="P45" s="8" t="n">
        <f aca="false">((G45-G44)/G44)*100</f>
        <v>-0.387887036406944</v>
      </c>
      <c r="Q45" s="8" t="n">
        <f aca="false">((H45-H44)/H44)*100</f>
        <v>-1.84654440285186</v>
      </c>
      <c r="S45" s="8" t="n">
        <v>1223.5</v>
      </c>
      <c r="V45" s="9" t="n">
        <f aca="false">K39-$V$4</f>
        <v>-0.0713361573693536</v>
      </c>
      <c r="W45" s="9" t="n">
        <f aca="false">L39-$W$4</f>
        <v>-1.00892665812766</v>
      </c>
      <c r="X45" s="9" t="n">
        <f aca="false">M39-$X$4</f>
        <v>0.0749120913950429</v>
      </c>
      <c r="Y45" s="9" t="n">
        <f aca="false">N39-$Y$4</f>
        <v>0.251889674514053</v>
      </c>
      <c r="Z45" s="9" t="n">
        <f aca="false">O39-$Z$4</f>
        <v>-0.546058282398855</v>
      </c>
      <c r="AA45" s="9" t="n">
        <f aca="false">P39-$AA$4</f>
        <v>1.51244917110939</v>
      </c>
      <c r="AB45" s="9" t="n">
        <f aca="false">Q39-$AB$4</f>
        <v>-0.513857207006179</v>
      </c>
      <c r="AD45" s="16" t="s">
        <v>6</v>
      </c>
      <c r="AE45" s="19" t="n">
        <v>0</v>
      </c>
      <c r="AF45" s="20"/>
    </row>
    <row r="46" customFormat="false" ht="15.75" hidden="false" customHeight="false" outlineLevel="0" collapsed="false">
      <c r="A46" s="7" t="n">
        <v>45352</v>
      </c>
      <c r="B46" s="8" t="n">
        <v>2986</v>
      </c>
      <c r="C46" s="9" t="n">
        <v>4094.35</v>
      </c>
      <c r="D46" s="9" t="n">
        <v>1972.95</v>
      </c>
      <c r="E46" s="8" t="n">
        <v>2601.45</v>
      </c>
      <c r="F46" s="9" t="n">
        <v>1128.7</v>
      </c>
      <c r="G46" s="11" t="n">
        <v>1480.5</v>
      </c>
      <c r="H46" s="12" t="n">
        <v>0.587286721</v>
      </c>
      <c r="I46" s="12"/>
      <c r="J46" s="12"/>
      <c r="K46" s="8" t="n">
        <f aca="false">((B46-B45)/B45)*100</f>
        <v>2.09419608513548</v>
      </c>
      <c r="L46" s="8" t="n">
        <f aca="false">((C46-C45)/C45)*100</f>
        <v>-0.0183145710727455</v>
      </c>
      <c r="M46" s="8" t="n">
        <f aca="false">((D46-D45)/D45)*100</f>
        <v>2.09842682674394</v>
      </c>
      <c r="N46" s="8" t="n">
        <f aca="false">((E46-E45)/E45)*100</f>
        <v>0.202218627224405</v>
      </c>
      <c r="O46" s="8" t="n">
        <f aca="false">((F46-F45)/F45)*100</f>
        <v>0.476254061512453</v>
      </c>
      <c r="P46" s="8" t="n">
        <f aca="false">((G46-G45)/G45)*100</f>
        <v>1.14086623855718</v>
      </c>
      <c r="Q46" s="8" t="n">
        <f aca="false">((H46-H45)/H45)*100</f>
        <v>1.86590698086072</v>
      </c>
      <c r="S46" s="8" t="n">
        <v>1216.6</v>
      </c>
      <c r="V46" s="9" t="n">
        <f aca="false">K40-$V$4</f>
        <v>0.871342653786474</v>
      </c>
      <c r="W46" s="9" t="n">
        <f aca="false">L40-$W$4</f>
        <v>2.35747026457278</v>
      </c>
      <c r="X46" s="9" t="n">
        <f aca="false">M40-$X$4</f>
        <v>2.47754585892812</v>
      </c>
      <c r="Y46" s="9" t="n">
        <f aca="false">N40-$Y$4</f>
        <v>0.855091965644723</v>
      </c>
      <c r="Z46" s="9" t="n">
        <f aca="false">O40-$Z$4</f>
        <v>-0.573634251899003</v>
      </c>
      <c r="AA46" s="9" t="n">
        <f aca="false">P40-$AA$4</f>
        <v>1.97029872642141</v>
      </c>
      <c r="AB46" s="9" t="n">
        <f aca="false">Q40-$AB$4</f>
        <v>-3.13095155823083</v>
      </c>
      <c r="AD46" s="16" t="s">
        <v>22</v>
      </c>
      <c r="AE46" s="19" t="n">
        <v>0.109790252886314</v>
      </c>
      <c r="AF46" s="20"/>
    </row>
    <row r="47" customFormat="false" ht="15.75" hidden="false" customHeight="false" outlineLevel="0" collapsed="false">
      <c r="A47" s="7" t="n">
        <v>45353</v>
      </c>
      <c r="B47" s="8" t="n">
        <v>2980.85</v>
      </c>
      <c r="C47" s="9" t="n">
        <v>4107.1</v>
      </c>
      <c r="D47" s="9" t="n">
        <v>1960.1</v>
      </c>
      <c r="E47" s="8" t="n">
        <v>2594.9</v>
      </c>
      <c r="F47" s="9" t="n">
        <v>1131.1</v>
      </c>
      <c r="G47" s="11" t="n">
        <v>1479.6</v>
      </c>
      <c r="H47" s="12" t="n">
        <v>0.601617795</v>
      </c>
      <c r="I47" s="12"/>
      <c r="J47" s="12"/>
      <c r="K47" s="8" t="n">
        <f aca="false">((B47-B46)/B46)*100</f>
        <v>-0.172471533824517</v>
      </c>
      <c r="L47" s="8" t="n">
        <f aca="false">((C47-C46)/C46)*100</f>
        <v>0.31140474067924</v>
      </c>
      <c r="M47" s="8" t="n">
        <f aca="false">((D47-D46)/D46)*100</f>
        <v>-0.651308953597412</v>
      </c>
      <c r="N47" s="8" t="n">
        <f aca="false">((E47-E46)/E46)*100</f>
        <v>-0.251782659670558</v>
      </c>
      <c r="O47" s="8" t="n">
        <f aca="false">((F47-F46)/F46)*100</f>
        <v>0.212634003721083</v>
      </c>
      <c r="P47" s="8" t="n">
        <f aca="false">((G47-G46)/G46)*100</f>
        <v>-0.0607902735562371</v>
      </c>
      <c r="Q47" s="8" t="n">
        <f aca="false">((H47-H46)/H46)*100</f>
        <v>2.44021761220785</v>
      </c>
      <c r="S47" s="8" t="n">
        <v>1220.95</v>
      </c>
      <c r="V47" s="9" t="n">
        <f aca="false">K41-$V$4</f>
        <v>0.791525031540873</v>
      </c>
      <c r="W47" s="9" t="n">
        <f aca="false">L41-$W$4</f>
        <v>-0.893972216023535</v>
      </c>
      <c r="X47" s="9" t="n">
        <f aca="false">M41-$X$4</f>
        <v>0.777216392043025</v>
      </c>
      <c r="Y47" s="9" t="n">
        <f aca="false">N41-$Y$4</f>
        <v>0.704876002567283</v>
      </c>
      <c r="Z47" s="9" t="n">
        <f aca="false">O41-$Z$4</f>
        <v>-1.05503975058801</v>
      </c>
      <c r="AA47" s="9" t="n">
        <f aca="false">P41-$AA$4</f>
        <v>-0.110998846205139</v>
      </c>
      <c r="AB47" s="9" t="n">
        <f aca="false">Q41-$AB$4</f>
        <v>-2.18806148399041</v>
      </c>
      <c r="AD47" s="19" t="s">
        <v>35</v>
      </c>
      <c r="AE47" s="19" t="n">
        <f aca="false">SUM(AE40:AE46)</f>
        <v>1</v>
      </c>
      <c r="AF47" s="20"/>
    </row>
    <row r="48" customFormat="false" ht="15.75" hidden="false" customHeight="false" outlineLevel="0" collapsed="false">
      <c r="A48" s="7" t="n">
        <v>45355</v>
      </c>
      <c r="B48" s="8" t="n">
        <v>3011.6</v>
      </c>
      <c r="C48" s="9" t="n">
        <v>4080.7</v>
      </c>
      <c r="D48" s="9" t="n">
        <v>1921.05</v>
      </c>
      <c r="E48" s="8" t="n">
        <v>2589.1</v>
      </c>
      <c r="F48" s="9" t="n">
        <v>1133.5</v>
      </c>
      <c r="G48" s="11" t="n">
        <v>1477</v>
      </c>
      <c r="H48" s="12" t="n">
        <v>0.626699491</v>
      </c>
      <c r="I48" s="12"/>
      <c r="J48" s="12"/>
      <c r="K48" s="8" t="n">
        <f aca="false">((B48-B47)/B47)*100</f>
        <v>1.03158495060134</v>
      </c>
      <c r="L48" s="8" t="n">
        <f aca="false">((C48-C47)/C47)*100</f>
        <v>-0.642789316062442</v>
      </c>
      <c r="M48" s="8" t="n">
        <f aca="false">((D48-D47)/D47)*100</f>
        <v>-1.99224529360747</v>
      </c>
      <c r="N48" s="8" t="n">
        <f aca="false">((E48-E47)/E47)*100</f>
        <v>-0.223515357046521</v>
      </c>
      <c r="O48" s="8" t="n">
        <f aca="false">((F48-F47)/F47)*100</f>
        <v>0.21218283087261</v>
      </c>
      <c r="P48" s="8" t="n">
        <f aca="false">((G48-G47)/G47)*100</f>
        <v>-0.175723168423892</v>
      </c>
      <c r="Q48" s="8" t="n">
        <f aca="false">((H48-H47)/H47)*100</f>
        <v>4.16904157564023</v>
      </c>
      <c r="S48" s="8" t="n">
        <v>1210.9</v>
      </c>
      <c r="V48" s="9" t="n">
        <f aca="false">K42-$V$4</f>
        <v>-0.386451902896987</v>
      </c>
      <c r="W48" s="9" t="n">
        <f aca="false">L42-$W$4</f>
        <v>-1.29745987724473</v>
      </c>
      <c r="X48" s="9" t="n">
        <f aca="false">M42-$X$4</f>
        <v>-0.256545831867404</v>
      </c>
      <c r="Y48" s="9" t="n">
        <f aca="false">N42-$Y$4</f>
        <v>0.276492397026424</v>
      </c>
      <c r="Z48" s="9" t="n">
        <f aca="false">O42-$Z$4</f>
        <v>-1.58664763477558</v>
      </c>
      <c r="AA48" s="9" t="n">
        <f aca="false">P42-$AA$4</f>
        <v>-0.530817245168925</v>
      </c>
      <c r="AB48" s="9" t="n">
        <f aca="false">Q42-$AB$4</f>
        <v>-0.417336961887481</v>
      </c>
      <c r="AD48" s="20"/>
      <c r="AE48" s="20"/>
      <c r="AF48" s="20"/>
    </row>
    <row r="49" customFormat="false" ht="15.75" hidden="false" customHeight="false" outlineLevel="0" collapsed="false">
      <c r="A49" s="7" t="n">
        <v>45356</v>
      </c>
      <c r="B49" s="8" t="n">
        <v>2998.3</v>
      </c>
      <c r="C49" s="9" t="n">
        <v>4012.1</v>
      </c>
      <c r="D49" s="9" t="n">
        <v>1939.25</v>
      </c>
      <c r="E49" s="8" t="n">
        <v>2538.65</v>
      </c>
      <c r="F49" s="9" t="n">
        <v>1168.9</v>
      </c>
      <c r="G49" s="11" t="n">
        <v>1486</v>
      </c>
      <c r="H49" s="12" t="n">
        <v>0.65117783</v>
      </c>
      <c r="I49" s="12"/>
      <c r="J49" s="12"/>
      <c r="K49" s="8" t="n">
        <f aca="false">((B49-B48)/B48)*100</f>
        <v>-0.44162571390622</v>
      </c>
      <c r="L49" s="8" t="n">
        <f aca="false">((C49-C48)/C48)*100</f>
        <v>-1.68108412772318</v>
      </c>
      <c r="M49" s="8" t="n">
        <f aca="false">((D49-D48)/D48)*100</f>
        <v>0.947398558080219</v>
      </c>
      <c r="N49" s="8" t="n">
        <f aca="false">((E49-E48)/E48)*100</f>
        <v>-1.94855355142713</v>
      </c>
      <c r="O49" s="8" t="n">
        <f aca="false">((F49-F48)/F48)*100</f>
        <v>3.1230701367446</v>
      </c>
      <c r="P49" s="8" t="n">
        <f aca="false">((G49-G48)/G48)*100</f>
        <v>0.609343263371699</v>
      </c>
      <c r="Q49" s="8" t="n">
        <f aca="false">((H49-H48)/H48)*100</f>
        <v>3.90591333669999</v>
      </c>
      <c r="S49" s="8" t="n">
        <v>1215.45</v>
      </c>
      <c r="V49" s="9" t="n">
        <f aca="false">K43-$V$4</f>
        <v>-0.117425708880207</v>
      </c>
      <c r="W49" s="9" t="n">
        <f aca="false">L43-$W$4</f>
        <v>2.54545264286125</v>
      </c>
      <c r="X49" s="9" t="n">
        <f aca="false">M43-$X$4</f>
        <v>0.829058289889614</v>
      </c>
      <c r="Y49" s="9" t="n">
        <f aca="false">N43-$Y$4</f>
        <v>0.659273858770135</v>
      </c>
      <c r="Z49" s="9" t="n">
        <f aca="false">O43-$Z$4</f>
        <v>1.37997943144776</v>
      </c>
      <c r="AA49" s="9" t="n">
        <f aca="false">P43-$AA$4</f>
        <v>0.462263232238241</v>
      </c>
      <c r="AB49" s="9" t="n">
        <f aca="false">Q43-$AB$4</f>
        <v>0.922710487900428</v>
      </c>
      <c r="AD49" s="19" t="s">
        <v>36</v>
      </c>
      <c r="AE49" s="20" t="n">
        <f aca="false" t="array" ref="AE49:AE49">MMULT(TRANSPOSE(AE40:AE46),AE17:AE23)</f>
        <v>96.9620303245934</v>
      </c>
      <c r="AF49" s="20"/>
    </row>
    <row r="50" customFormat="false" ht="15.75" hidden="false" customHeight="false" outlineLevel="0" collapsed="false">
      <c r="A50" s="7" t="n">
        <v>45357</v>
      </c>
      <c r="B50" s="8" t="n">
        <v>3005.95</v>
      </c>
      <c r="C50" s="9" t="n">
        <v>4064.3</v>
      </c>
      <c r="D50" s="9" t="n">
        <v>1970.65</v>
      </c>
      <c r="E50" s="8" t="n">
        <v>2533.05</v>
      </c>
      <c r="F50" s="9" t="n">
        <v>1193.7</v>
      </c>
      <c r="G50" s="11" t="n">
        <v>1500</v>
      </c>
      <c r="H50" s="12" t="n">
        <v>0.59528327</v>
      </c>
      <c r="I50" s="12"/>
      <c r="J50" s="12"/>
      <c r="K50" s="8" t="n">
        <f aca="false">((B50-B49)/B49)*100</f>
        <v>0.255144581929748</v>
      </c>
      <c r="L50" s="8" t="n">
        <f aca="false">((C50-C49)/C49)*100</f>
        <v>1.30106428055134</v>
      </c>
      <c r="M50" s="8" t="n">
        <f aca="false">((D50-D49)/D49)*100</f>
        <v>1.61918267371407</v>
      </c>
      <c r="N50" s="8" t="n">
        <f aca="false">((E50-E49)/E49)*100</f>
        <v>-0.220589683493192</v>
      </c>
      <c r="O50" s="8" t="n">
        <f aca="false">((F50-F49)/F49)*100</f>
        <v>2.12165283599965</v>
      </c>
      <c r="P50" s="8" t="n">
        <f aca="false">((G50-G49)/G49)*100</f>
        <v>0.942126514131898</v>
      </c>
      <c r="Q50" s="8" t="n">
        <f aca="false">((H50-H49)/H49)*100</f>
        <v>-8.58360918092066</v>
      </c>
      <c r="S50" s="9"/>
      <c r="V50" s="9" t="n">
        <f aca="false">K44-$V$4</f>
        <v>-2.05168525924148</v>
      </c>
      <c r="W50" s="9" t="n">
        <f aca="false">L44-$W$4</f>
        <v>0.316878311564952</v>
      </c>
      <c r="X50" s="9" t="n">
        <f aca="false">M44-$X$4</f>
        <v>-2.75825787104205</v>
      </c>
      <c r="Y50" s="9" t="n">
        <f aca="false">N44-$Y$4</f>
        <v>-0.983269377558478</v>
      </c>
      <c r="Z50" s="9" t="n">
        <f aca="false">O44-$Z$4</f>
        <v>-0.0811570847456114</v>
      </c>
      <c r="AA50" s="9" t="n">
        <f aca="false">P44-$AA$4</f>
        <v>1.22477464713683</v>
      </c>
      <c r="AB50" s="9" t="n">
        <f aca="false">Q44-$AB$4</f>
        <v>5.86437462666917</v>
      </c>
      <c r="AD50" s="19" t="s">
        <v>37</v>
      </c>
      <c r="AE50" s="20" t="e">
        <f aca="false" t="array" ref="AE50:AE50">SQRT(MMULT(MMULT(TRANSPOSE(AE40:AE46),_xlfn.anchorarray(AE5)),AE40:AE46))</f>
        <v>#NAME?</v>
      </c>
      <c r="AF50" s="20"/>
    </row>
    <row r="51" customFormat="false" ht="15.75" hidden="false" customHeight="false" outlineLevel="0" collapsed="false">
      <c r="A51" s="7" t="n">
        <v>45358</v>
      </c>
      <c r="B51" s="8" t="n">
        <v>2958.1</v>
      </c>
      <c r="C51" s="9" t="n">
        <v>4108.6</v>
      </c>
      <c r="D51" s="9" t="n">
        <v>1897.55</v>
      </c>
      <c r="E51" s="8" t="n">
        <v>2560.95</v>
      </c>
      <c r="F51" s="9" t="n">
        <v>1199.7</v>
      </c>
      <c r="G51" s="11" t="n">
        <v>1535.5</v>
      </c>
      <c r="H51" s="12" t="n">
        <v>0.612915948</v>
      </c>
      <c r="I51" s="12"/>
      <c r="J51" s="12"/>
      <c r="K51" s="8" t="n">
        <f aca="false">((B51-B50)/B50)*100</f>
        <v>-1.59184284502403</v>
      </c>
      <c r="L51" s="8" t="n">
        <f aca="false">((C51-C50)/C50)*100</f>
        <v>1.08997859409985</v>
      </c>
      <c r="M51" s="8" t="n">
        <f aca="false">((D51-D50)/D50)*100</f>
        <v>-3.70943597290235</v>
      </c>
      <c r="N51" s="8" t="n">
        <f aca="false">((E51-E50)/E50)*100</f>
        <v>1.10143897672765</v>
      </c>
      <c r="O51" s="8" t="n">
        <f aca="false">((F51-F50)/F50)*100</f>
        <v>0.502638853983413</v>
      </c>
      <c r="P51" s="8" t="n">
        <f aca="false">((G51-G50)/G50)*100</f>
        <v>2.36666666666667</v>
      </c>
      <c r="Q51" s="8" t="n">
        <f aca="false">((H51-H50)/H50)*100</f>
        <v>2.96206510221596</v>
      </c>
      <c r="S51" s="9"/>
      <c r="V51" s="9" t="n">
        <f aca="false">K45-$V$4</f>
        <v>0.556799585427831</v>
      </c>
      <c r="W51" s="9" t="n">
        <f aca="false">L45-$W$4</f>
        <v>-0.61665036449551</v>
      </c>
      <c r="X51" s="9" t="n">
        <f aca="false">M45-$X$4</f>
        <v>1.36824319140985</v>
      </c>
      <c r="Y51" s="9" t="n">
        <f aca="false">N45-$Y$4</f>
        <v>1.07058744879524</v>
      </c>
      <c r="Z51" s="9" t="n">
        <f aca="false">O45-$Z$4</f>
        <v>-0.670427145371324</v>
      </c>
      <c r="AA51" s="9" t="n">
        <f aca="false">P45-$AA$4</f>
        <v>-0.368346549049728</v>
      </c>
      <c r="AB51" s="9" t="n">
        <f aca="false">Q45-$AB$4</f>
        <v>-2.52580211925501</v>
      </c>
      <c r="AD51" s="19" t="s">
        <v>38</v>
      </c>
      <c r="AE51" s="20" t="e">
        <f aca="false">(AE49-AD14)/AE50</f>
        <v>#NAME?</v>
      </c>
      <c r="AF51" s="20"/>
    </row>
    <row r="52" customFormat="false" ht="15.75" hidden="false" customHeight="false" outlineLevel="0" collapsed="false">
      <c r="A52" s="7" t="n">
        <v>45362</v>
      </c>
      <c r="B52" s="8" t="n">
        <v>2931.2</v>
      </c>
      <c r="C52" s="9" t="n">
        <v>4122.35</v>
      </c>
      <c r="D52" s="9" t="n">
        <v>1894.35</v>
      </c>
      <c r="E52" s="8" t="n">
        <v>2611.5</v>
      </c>
      <c r="F52" s="9" t="n">
        <v>1196.6</v>
      </c>
      <c r="G52" s="11" t="n">
        <v>1558.75</v>
      </c>
      <c r="H52" s="12" t="n">
        <v>0.608556046</v>
      </c>
      <c r="I52" s="12"/>
      <c r="J52" s="12"/>
      <c r="K52" s="8" t="n">
        <f aca="false">((B52-B51)/B51)*100</f>
        <v>-0.909367499408407</v>
      </c>
      <c r="L52" s="8" t="n">
        <f aca="false">((C52-C51)/C51)*100</f>
        <v>0.334663875772769</v>
      </c>
      <c r="M52" s="8" t="n">
        <f aca="false">((D52-D51)/D51)*100</f>
        <v>-0.168638507549211</v>
      </c>
      <c r="N52" s="8" t="n">
        <f aca="false">((E52-E51)/E51)*100</f>
        <v>1.97387688162597</v>
      </c>
      <c r="O52" s="8" t="n">
        <f aca="false">((F52-F51)/F51)*100</f>
        <v>-0.258397932816549</v>
      </c>
      <c r="P52" s="8" t="n">
        <f aca="false">((G52-G51)/G51)*100</f>
        <v>1.51416476717682</v>
      </c>
      <c r="Q52" s="8" t="n">
        <f aca="false">((H52-H51)/H51)*100</f>
        <v>-0.711337666155821</v>
      </c>
      <c r="S52" s="9"/>
      <c r="V52" s="9" t="n">
        <f aca="false">K46-$V$4</f>
        <v>2.10957250108927</v>
      </c>
      <c r="W52" s="9" t="n">
        <f aca="false">L46-$W$4</f>
        <v>-0.0559338718262849</v>
      </c>
      <c r="X52" s="9" t="n">
        <f aca="false">M46-$X$4</f>
        <v>1.84965321695484</v>
      </c>
      <c r="Y52" s="9" t="n">
        <f aca="false">N46-$Y$4</f>
        <v>0.288714901722714</v>
      </c>
      <c r="Z52" s="9" t="n">
        <f aca="false">O46-$Z$4</f>
        <v>0.284232231755755</v>
      </c>
      <c r="AA52" s="9" t="n">
        <f aca="false">P46-$AA$4</f>
        <v>1.1604067259144</v>
      </c>
      <c r="AB52" s="9" t="n">
        <f aca="false">Q46-$AB$4</f>
        <v>1.18664926445757</v>
      </c>
    </row>
    <row r="53" customFormat="false" ht="15.75" hidden="false" customHeight="false" outlineLevel="0" collapsed="false">
      <c r="A53" s="7" t="n">
        <v>45363</v>
      </c>
      <c r="B53" s="8" t="n">
        <v>2950.2</v>
      </c>
      <c r="C53" s="9" t="n">
        <v>4192.25</v>
      </c>
      <c r="D53" s="9" t="n">
        <v>1895.15</v>
      </c>
      <c r="E53" s="8" t="n">
        <v>2590.15</v>
      </c>
      <c r="F53" s="9" t="n">
        <v>1204.25</v>
      </c>
      <c r="G53" s="11" t="n">
        <v>1549</v>
      </c>
      <c r="H53" s="12" t="n">
        <v>0.717049252</v>
      </c>
      <c r="I53" s="12"/>
      <c r="J53" s="12"/>
      <c r="K53" s="8" t="n">
        <f aca="false">((B53-B52)/B52)*100</f>
        <v>0.648198689956332</v>
      </c>
      <c r="L53" s="8" t="n">
        <f aca="false">((C53-C52)/C52)*100</f>
        <v>1.69563477142891</v>
      </c>
      <c r="M53" s="8" t="n">
        <f aca="false">((D53-D52)/D52)*100</f>
        <v>0.0422308443529539</v>
      </c>
      <c r="N53" s="8" t="n">
        <f aca="false">((E53-E52)/E52)*100</f>
        <v>-0.817537813517132</v>
      </c>
      <c r="O53" s="8" t="n">
        <f aca="false">((F53-F52)/F52)*100</f>
        <v>0.639311382249715</v>
      </c>
      <c r="P53" s="8" t="n">
        <f aca="false">((G53-G52)/G52)*100</f>
        <v>-0.625501202886929</v>
      </c>
      <c r="Q53" s="8" t="n">
        <f aca="false">((H53-H52)/H52)*100</f>
        <v>17.8279727418894</v>
      </c>
      <c r="S53" s="9"/>
      <c r="V53" s="9" t="n">
        <f aca="false">K47-$V$4</f>
        <v>-0.157095117870733</v>
      </c>
      <c r="W53" s="9" t="n">
        <f aca="false">L47-$W$4</f>
        <v>0.2737854399257</v>
      </c>
      <c r="X53" s="9" t="n">
        <f aca="false">M47-$X$4</f>
        <v>-0.900082563386519</v>
      </c>
      <c r="Y53" s="9" t="n">
        <f aca="false">N47-$Y$4</f>
        <v>-0.165286385172249</v>
      </c>
      <c r="Z53" s="9" t="n">
        <f aca="false">O47-$Z$4</f>
        <v>0.0206121739643851</v>
      </c>
      <c r="AA53" s="9" t="n">
        <f aca="false">P47-$AA$4</f>
        <v>-0.0412497861990204</v>
      </c>
      <c r="AB53" s="9" t="n">
        <f aca="false">Q47-$AB$4</f>
        <v>1.7609598958047</v>
      </c>
      <c r="AD53" s="19" t="s">
        <v>40</v>
      </c>
      <c r="AE53" s="20"/>
      <c r="AF53" s="20"/>
    </row>
    <row r="54" customFormat="false" ht="15.75" hidden="false" customHeight="false" outlineLevel="0" collapsed="false">
      <c r="A54" s="7" t="n">
        <v>45364</v>
      </c>
      <c r="B54" s="8" t="n">
        <v>2864.7</v>
      </c>
      <c r="C54" s="9" t="n">
        <v>4149</v>
      </c>
      <c r="D54" s="9" t="n">
        <v>1853.7</v>
      </c>
      <c r="E54" s="8" t="n">
        <v>2582.95</v>
      </c>
      <c r="F54" s="9" t="n">
        <v>1168.75</v>
      </c>
      <c r="G54" s="11" t="n">
        <v>1548.75</v>
      </c>
      <c r="H54" s="12" t="n">
        <v>0.688693206</v>
      </c>
      <c r="I54" s="12"/>
      <c r="J54" s="12"/>
      <c r="K54" s="8" t="n">
        <f aca="false">((B54-B53)/B53)*100</f>
        <v>-2.89810860280659</v>
      </c>
      <c r="L54" s="8" t="n">
        <f aca="false">((C54-C53)/C53)*100</f>
        <v>-1.03166557337945</v>
      </c>
      <c r="M54" s="8" t="n">
        <f aca="false">((D54-D53)/D53)*100</f>
        <v>-2.18716196607129</v>
      </c>
      <c r="N54" s="8" t="n">
        <f aca="false">((E54-E53)/E53)*100</f>
        <v>-0.277976178985784</v>
      </c>
      <c r="O54" s="8" t="n">
        <f aca="false">((F54-F53)/F53)*100</f>
        <v>-2.94789287938551</v>
      </c>
      <c r="P54" s="8" t="n">
        <f aca="false">((G54-G53)/G53)*100</f>
        <v>-0.0161394448030988</v>
      </c>
      <c r="Q54" s="8" t="n">
        <f aca="false">((H54-H53)/H53)*100</f>
        <v>-3.95454648629911</v>
      </c>
      <c r="S54" s="9"/>
      <c r="V54" s="9" t="n">
        <f aca="false">K48-$V$4</f>
        <v>1.04696136655512</v>
      </c>
      <c r="W54" s="9" t="n">
        <f aca="false">L48-$W$4</f>
        <v>-0.680408616815981</v>
      </c>
      <c r="X54" s="9" t="n">
        <f aca="false">M48-$X$4</f>
        <v>-2.24101890339657</v>
      </c>
      <c r="Y54" s="9" t="n">
        <f aca="false">N48-$Y$4</f>
        <v>-0.137019082548213</v>
      </c>
      <c r="Z54" s="9" t="n">
        <f aca="false">O48-$Z$4</f>
        <v>0.020161001115912</v>
      </c>
      <c r="AA54" s="9" t="n">
        <f aca="false">P48-$AA$4</f>
        <v>-0.156182681066676</v>
      </c>
      <c r="AB54" s="9" t="n">
        <f aca="false">Q48-$AB$4</f>
        <v>3.48978385923708</v>
      </c>
      <c r="AD54" s="16" t="s">
        <v>17</v>
      </c>
      <c r="AE54" s="19" t="n">
        <v>0.0973633241796347</v>
      </c>
      <c r="AF54" s="20"/>
    </row>
    <row r="55" customFormat="false" ht="15.75" hidden="false" customHeight="false" outlineLevel="0" collapsed="false">
      <c r="A55" s="7" t="n">
        <v>45365</v>
      </c>
      <c r="B55" s="8" t="n">
        <v>2865.25</v>
      </c>
      <c r="C55" s="9" t="n">
        <v>4207.6</v>
      </c>
      <c r="D55" s="9" t="n">
        <v>1890.55</v>
      </c>
      <c r="E55" s="8" t="n">
        <v>2612.75</v>
      </c>
      <c r="F55" s="9" t="n">
        <v>1194.6</v>
      </c>
      <c r="G55" s="11" t="n">
        <v>1516</v>
      </c>
      <c r="H55" s="12" t="n">
        <v>0.689654561</v>
      </c>
      <c r="I55" s="12"/>
      <c r="J55" s="12"/>
      <c r="K55" s="8" t="n">
        <f aca="false">((B55-B54)/B54)*100</f>
        <v>0.0191992180682159</v>
      </c>
      <c r="L55" s="8" t="n">
        <f aca="false">((C55-C54)/C54)*100</f>
        <v>1.412388527356</v>
      </c>
      <c r="M55" s="8" t="n">
        <f aca="false">((D55-D54)/D54)*100</f>
        <v>1.98791605977234</v>
      </c>
      <c r="N55" s="8" t="n">
        <f aca="false">((E55-E54)/E54)*100</f>
        <v>1.15371958419637</v>
      </c>
      <c r="O55" s="8" t="n">
        <f aca="false">((F55-F54)/F54)*100</f>
        <v>2.21176470588235</v>
      </c>
      <c r="P55" s="8" t="n">
        <f aca="false">((G55-G54)/G54)*100</f>
        <v>-2.11460855528652</v>
      </c>
      <c r="Q55" s="8" t="n">
        <f aca="false">((H55-H54)/H54)*100</f>
        <v>0.139591183944401</v>
      </c>
      <c r="S55" s="9"/>
      <c r="V55" s="9" t="n">
        <f aca="false">K49-$V$4</f>
        <v>-0.426249297952436</v>
      </c>
      <c r="W55" s="9" t="n">
        <f aca="false">L49-$W$4</f>
        <v>-1.71870342847672</v>
      </c>
      <c r="X55" s="9" t="n">
        <f aca="false">M49-$X$4</f>
        <v>0.698624948291112</v>
      </c>
      <c r="Y55" s="9" t="n">
        <f aca="false">N49-$Y$4</f>
        <v>-1.86205727692882</v>
      </c>
      <c r="Z55" s="9" t="n">
        <f aca="false">O49-$Z$4</f>
        <v>2.93104830698791</v>
      </c>
      <c r="AA55" s="9" t="n">
        <f aca="false">P49-$AA$4</f>
        <v>0.628883750728916</v>
      </c>
      <c r="AB55" s="9" t="n">
        <f aca="false">Q49-$AB$4</f>
        <v>3.22665562029684</v>
      </c>
      <c r="AD55" s="16" t="s">
        <v>18</v>
      </c>
      <c r="AE55" s="19" t="n">
        <v>0.18024175646041</v>
      </c>
      <c r="AF55" s="20"/>
    </row>
    <row r="56" customFormat="false" ht="15.75" hidden="false" customHeight="false" outlineLevel="0" collapsed="false">
      <c r="A56" s="7" t="n">
        <v>45366</v>
      </c>
      <c r="B56" s="8" t="n">
        <v>2837.25</v>
      </c>
      <c r="C56" s="9" t="n">
        <v>4219.25</v>
      </c>
      <c r="D56" s="9" t="n">
        <v>1799.5</v>
      </c>
      <c r="E56" s="8" t="n">
        <v>2603.65</v>
      </c>
      <c r="F56" s="9" t="n">
        <v>1220</v>
      </c>
      <c r="G56" s="11" t="n">
        <v>1491.75</v>
      </c>
      <c r="H56" s="12" t="n">
        <v>0.669175408</v>
      </c>
      <c r="I56" s="12"/>
      <c r="J56" s="12"/>
      <c r="K56" s="8" t="n">
        <f aca="false">((B56-B55)/B55)*100</f>
        <v>-0.977227118052526</v>
      </c>
      <c r="L56" s="8" t="n">
        <f aca="false">((C56-C55)/C55)*100</f>
        <v>0.27687993155242</v>
      </c>
      <c r="M56" s="8" t="n">
        <f aca="false">((D56-D55)/D55)*100</f>
        <v>-4.81605881886223</v>
      </c>
      <c r="N56" s="8" t="n">
        <f aca="false">((E56-E55)/E55)*100</f>
        <v>-0.348292029470861</v>
      </c>
      <c r="O56" s="8" t="n">
        <f aca="false">((F56-F55)/F55)*100</f>
        <v>2.12623472291981</v>
      </c>
      <c r="P56" s="8" t="n">
        <f aca="false">((G56-G55)/G55)*100</f>
        <v>-1.59960422163588</v>
      </c>
      <c r="Q56" s="8" t="n">
        <f aca="false">((H56-H55)/H55)*100</f>
        <v>-2.96947981759234</v>
      </c>
      <c r="S56" s="9"/>
      <c r="V56" s="9" t="n">
        <f aca="false">K50-$V$4</f>
        <v>0.270520997883533</v>
      </c>
      <c r="W56" s="9" t="n">
        <f aca="false">L50-$W$4</f>
        <v>1.2634449797978</v>
      </c>
      <c r="X56" s="9" t="n">
        <f aca="false">M50-$X$4</f>
        <v>1.37040906392496</v>
      </c>
      <c r="Y56" s="9" t="n">
        <f aca="false">N50-$Y$4</f>
        <v>-0.134093408994883</v>
      </c>
      <c r="Z56" s="9" t="n">
        <f aca="false">O50-$Z$4</f>
        <v>1.92963100624296</v>
      </c>
      <c r="AA56" s="9" t="n">
        <f aca="false">P50-$AA$4</f>
        <v>0.961667001489114</v>
      </c>
      <c r="AB56" s="9" t="n">
        <f aca="false">Q50-$AB$4</f>
        <v>-9.26286689732381</v>
      </c>
      <c r="AD56" s="16" t="s">
        <v>29</v>
      </c>
      <c r="AE56" s="19" t="n">
        <v>0</v>
      </c>
      <c r="AF56" s="20"/>
    </row>
    <row r="57" customFormat="false" ht="15.75" hidden="false" customHeight="false" outlineLevel="0" collapsed="false">
      <c r="A57" s="7" t="n">
        <v>45369</v>
      </c>
      <c r="B57" s="8" t="n">
        <v>2878.35</v>
      </c>
      <c r="C57" s="9" t="n">
        <v>4152.5</v>
      </c>
      <c r="D57" s="9" t="n">
        <v>1856.05</v>
      </c>
      <c r="E57" s="8" t="n">
        <v>2580.35</v>
      </c>
      <c r="F57" s="9" t="n">
        <v>1225.3</v>
      </c>
      <c r="G57" s="11" t="n">
        <v>1476.65</v>
      </c>
      <c r="H57" s="12" t="n">
        <v>0.619147028</v>
      </c>
      <c r="I57" s="12"/>
      <c r="J57" s="12"/>
      <c r="K57" s="8" t="n">
        <f aca="false">((B57-B56)/B56)*100</f>
        <v>1.44858577848268</v>
      </c>
      <c r="L57" s="8" t="n">
        <f aca="false">((C57-C56)/C56)*100</f>
        <v>-1.58203472181075</v>
      </c>
      <c r="M57" s="8" t="n">
        <f aca="false">((D57-D56)/D56)*100</f>
        <v>3.14253959433176</v>
      </c>
      <c r="N57" s="8" t="n">
        <f aca="false">((E57-E56)/E56)*100</f>
        <v>-0.894897547673465</v>
      </c>
      <c r="O57" s="8" t="n">
        <f aca="false">((F57-F56)/F56)*100</f>
        <v>0.434426229508193</v>
      </c>
      <c r="P57" s="8" t="n">
        <f aca="false">((G57-G56)/G56)*100</f>
        <v>-1.01223395341042</v>
      </c>
      <c r="Q57" s="8" t="n">
        <f aca="false">((H57-H56)/H56)*100</f>
        <v>-7.47612350990639</v>
      </c>
      <c r="S57" s="9"/>
      <c r="V57" s="9" t="n">
        <f aca="false">K51-$V$4</f>
        <v>-1.57646642907025</v>
      </c>
      <c r="W57" s="9" t="n">
        <f aca="false">L51-$W$4</f>
        <v>1.05235929334631</v>
      </c>
      <c r="X57" s="9" t="n">
        <f aca="false">M51-$X$4</f>
        <v>-3.95820958269146</v>
      </c>
      <c r="Y57" s="9" t="n">
        <f aca="false">N51-$Y$4</f>
        <v>1.18793525122595</v>
      </c>
      <c r="Z57" s="9" t="n">
        <f aca="false">O51-$Z$4</f>
        <v>0.310617024226715</v>
      </c>
      <c r="AA57" s="9" t="n">
        <f aca="false">P51-$AA$4</f>
        <v>2.38620715402388</v>
      </c>
      <c r="AB57" s="9" t="n">
        <f aca="false">Q51-$AB$4</f>
        <v>2.28280738581281</v>
      </c>
      <c r="AD57" s="16" t="s">
        <v>20</v>
      </c>
      <c r="AE57" s="19" t="n">
        <v>0.256520829213029</v>
      </c>
      <c r="AF57" s="20"/>
    </row>
    <row r="58" customFormat="false" ht="15.75" hidden="false" customHeight="false" outlineLevel="0" collapsed="false">
      <c r="A58" s="7" t="n">
        <v>45370</v>
      </c>
      <c r="B58" s="8" t="n">
        <v>2850.75</v>
      </c>
      <c r="C58" s="9" t="n">
        <v>3977.3</v>
      </c>
      <c r="D58" s="9" t="n">
        <v>1843.9</v>
      </c>
      <c r="E58" s="8" t="n">
        <v>2496.05</v>
      </c>
      <c r="F58" s="9" t="n">
        <v>1228.35</v>
      </c>
      <c r="G58" s="11" t="n">
        <v>1481.25</v>
      </c>
      <c r="H58" s="12" t="n">
        <v>0.653906622</v>
      </c>
      <c r="I58" s="12"/>
      <c r="J58" s="12"/>
      <c r="K58" s="8" t="n">
        <f aca="false">((B58-B57)/B57)*100</f>
        <v>-0.958882693209648</v>
      </c>
      <c r="L58" s="8" t="n">
        <f aca="false">((C58-C57)/C57)*100</f>
        <v>-4.21914509331728</v>
      </c>
      <c r="M58" s="8" t="n">
        <f aca="false">((D58-D57)/D57)*100</f>
        <v>-0.654615985560727</v>
      </c>
      <c r="N58" s="8" t="n">
        <f aca="false">((E58-E57)/E57)*100</f>
        <v>-3.26699866297207</v>
      </c>
      <c r="O58" s="8" t="n">
        <f aca="false">((F58-F57)/F57)*100</f>
        <v>0.248918632171709</v>
      </c>
      <c r="P58" s="8" t="n">
        <f aca="false">((G58-G57)/G57)*100</f>
        <v>0.311515931331047</v>
      </c>
      <c r="Q58" s="8" t="n">
        <f aca="false">((H58-H57)/H57)*100</f>
        <v>5.6141098039802</v>
      </c>
      <c r="S58" s="9"/>
      <c r="V58" s="9" t="n">
        <f aca="false">K52-$V$4</f>
        <v>-0.893991083454623</v>
      </c>
      <c r="W58" s="9" t="n">
        <f aca="false">L52-$W$4</f>
        <v>0.29704457501923</v>
      </c>
      <c r="X58" s="9" t="n">
        <f aca="false">M52-$X$4</f>
        <v>-0.417412117338318</v>
      </c>
      <c r="Y58" s="9" t="n">
        <f aca="false">N52-$Y$4</f>
        <v>2.06037315612428</v>
      </c>
      <c r="Z58" s="9" t="n">
        <f aca="false">O52-$Z$4</f>
        <v>-0.450419762573247</v>
      </c>
      <c r="AA58" s="9" t="n">
        <f aca="false">P52-$AA$4</f>
        <v>1.53370525453403</v>
      </c>
      <c r="AB58" s="9" t="n">
        <f aca="false">Q52-$AB$4</f>
        <v>-1.39059538255897</v>
      </c>
      <c r="AD58" s="16" t="s">
        <v>21</v>
      </c>
      <c r="AE58" s="19" t="n">
        <v>0.0891128765319916</v>
      </c>
      <c r="AF58" s="20"/>
    </row>
    <row r="59" customFormat="false" ht="15.75" hidden="false" customHeight="false" outlineLevel="0" collapsed="false">
      <c r="A59" s="7" t="n">
        <v>45371</v>
      </c>
      <c r="B59" s="8" t="n">
        <v>2886.8</v>
      </c>
      <c r="C59" s="9" t="n">
        <v>3970.9</v>
      </c>
      <c r="D59" s="9" t="n">
        <v>1844.4</v>
      </c>
      <c r="E59" s="8" t="n">
        <v>2550.25</v>
      </c>
      <c r="F59" s="9" t="n">
        <v>1231.8</v>
      </c>
      <c r="G59" s="11" t="n">
        <v>1469.65</v>
      </c>
      <c r="H59" s="12" t="n">
        <v>0.585240005</v>
      </c>
      <c r="I59" s="12"/>
      <c r="J59" s="12"/>
      <c r="K59" s="8" t="n">
        <f aca="false">((B59-B58)/B58)*100</f>
        <v>1.2645794966237</v>
      </c>
      <c r="L59" s="8" t="n">
        <f aca="false">((C59-C58)/C58)*100</f>
        <v>-0.160913182309609</v>
      </c>
      <c r="M59" s="8" t="n">
        <f aca="false">((D59-D58)/D58)*100</f>
        <v>0.0271164379847063</v>
      </c>
      <c r="N59" s="8" t="n">
        <f aca="false">((E59-E58)/E58)*100</f>
        <v>2.17143086075999</v>
      </c>
      <c r="O59" s="8" t="n">
        <f aca="false">((F59-F58)/F58)*100</f>
        <v>0.280864574429116</v>
      </c>
      <c r="P59" s="8" t="n">
        <f aca="false">((G59-G58)/G58)*100</f>
        <v>-0.783122362869192</v>
      </c>
      <c r="Q59" s="8" t="n">
        <f aca="false">((H59-H58)/H58)*100</f>
        <v>-10.5009820500029</v>
      </c>
      <c r="S59" s="9"/>
      <c r="V59" s="9" t="n">
        <f aca="false">K53-$V$4</f>
        <v>0.663575105910116</v>
      </c>
      <c r="W59" s="9" t="n">
        <f aca="false">L53-$W$4</f>
        <v>1.65801547067537</v>
      </c>
      <c r="X59" s="9" t="n">
        <f aca="false">M53-$X$4</f>
        <v>-0.206542765436153</v>
      </c>
      <c r="Y59" s="9" t="n">
        <f aca="false">N53-$Y$4</f>
        <v>-0.731041539018824</v>
      </c>
      <c r="Z59" s="9" t="n">
        <f aca="false">O53-$Z$4</f>
        <v>0.447289552493017</v>
      </c>
      <c r="AA59" s="9" t="n">
        <f aca="false">P53-$AA$4</f>
        <v>-0.605960715529712</v>
      </c>
      <c r="AB59" s="9" t="n">
        <f aca="false">Q53-$AB$4</f>
        <v>17.1487150254863</v>
      </c>
      <c r="AD59" s="16" t="s">
        <v>6</v>
      </c>
      <c r="AE59" s="19" t="n">
        <v>0.365197860893393</v>
      </c>
      <c r="AF59" s="20"/>
    </row>
    <row r="60" customFormat="false" ht="15.75" hidden="false" customHeight="false" outlineLevel="0" collapsed="false">
      <c r="A60" s="7" t="n">
        <v>45372</v>
      </c>
      <c r="B60" s="8" t="n">
        <v>2901.3</v>
      </c>
      <c r="C60" s="9" t="n">
        <v>3972.95</v>
      </c>
      <c r="D60" s="9" t="n">
        <v>1865.85</v>
      </c>
      <c r="E60" s="8" t="n">
        <v>2553.65</v>
      </c>
      <c r="F60" s="9" t="n">
        <v>1220.8</v>
      </c>
      <c r="G60" s="11" t="n">
        <v>1431.25</v>
      </c>
      <c r="H60" s="12" t="n">
        <v>0.611701579</v>
      </c>
      <c r="I60" s="12"/>
      <c r="J60" s="12"/>
      <c r="K60" s="8" t="n">
        <f aca="false">((B60-B59)/B59)*100</f>
        <v>0.502286268532631</v>
      </c>
      <c r="L60" s="8" t="n">
        <f aca="false">((C60-C59)/C59)*100</f>
        <v>0.0516255760658724</v>
      </c>
      <c r="M60" s="8" t="n">
        <f aca="false">((D60-D59)/D59)*100</f>
        <v>1.16297983083929</v>
      </c>
      <c r="N60" s="8" t="n">
        <f aca="false">((E60-E59)/E59)*100</f>
        <v>0.133320262719345</v>
      </c>
      <c r="O60" s="8" t="n">
        <f aca="false">((F60-F59)/F59)*100</f>
        <v>-0.893002110732262</v>
      </c>
      <c r="P60" s="8" t="n">
        <f aca="false">((G60-G59)/G59)*100</f>
        <v>-2.61286700915184</v>
      </c>
      <c r="Q60" s="8" t="n">
        <f aca="false">((H60-H59)/H59)*100</f>
        <v>4.52149097360493</v>
      </c>
      <c r="S60" s="9"/>
      <c r="V60" s="9" t="n">
        <f aca="false">K54-$V$4</f>
        <v>-2.88273218685281</v>
      </c>
      <c r="W60" s="9" t="n">
        <f aca="false">L54-$W$4</f>
        <v>-1.06928487413299</v>
      </c>
      <c r="X60" s="9" t="n">
        <f aca="false">M54-$X$4</f>
        <v>-2.4359355758604</v>
      </c>
      <c r="Y60" s="9" t="n">
        <f aca="false">N54-$Y$4</f>
        <v>-0.191479904487475</v>
      </c>
      <c r="Z60" s="9" t="n">
        <f aca="false">O54-$Z$4</f>
        <v>-3.13991470914221</v>
      </c>
      <c r="AA60" s="9" t="n">
        <f aca="false">P54-$AA$4</f>
        <v>0.00340104255411795</v>
      </c>
      <c r="AB60" s="9" t="n">
        <f aca="false">Q54-$AB$4</f>
        <v>-4.63380420270226</v>
      </c>
      <c r="AD60" s="16" t="s">
        <v>22</v>
      </c>
      <c r="AE60" s="19" t="n">
        <v>0.0115633527215413</v>
      </c>
      <c r="AF60" s="20"/>
    </row>
    <row r="61" customFormat="false" ht="15.75" hidden="false" customHeight="false" outlineLevel="0" collapsed="false">
      <c r="A61" s="7" t="n">
        <v>45373</v>
      </c>
      <c r="B61" s="8" t="n">
        <v>2909.9</v>
      </c>
      <c r="C61" s="9" t="n">
        <v>3910.9</v>
      </c>
      <c r="D61" s="9" t="n">
        <v>1878.8</v>
      </c>
      <c r="E61" s="8" t="n">
        <v>2573.4</v>
      </c>
      <c r="F61" s="9" t="n">
        <v>1236.1</v>
      </c>
      <c r="G61" s="11" t="n">
        <v>1413</v>
      </c>
      <c r="H61" s="12" t="n">
        <v>0.641329056</v>
      </c>
      <c r="I61" s="12"/>
      <c r="J61" s="12"/>
      <c r="K61" s="8" t="n">
        <f aca="false">((B61-B60)/B60)*100</f>
        <v>0.296418846723879</v>
      </c>
      <c r="L61" s="8" t="n">
        <f aca="false">((C61-C60)/C60)*100</f>
        <v>-1.56181175197271</v>
      </c>
      <c r="M61" s="8" t="n">
        <f aca="false">((D61-D60)/D60)*100</f>
        <v>0.694053648471209</v>
      </c>
      <c r="N61" s="8" t="n">
        <f aca="false">((E61-E60)/E60)*100</f>
        <v>0.773402776418068</v>
      </c>
      <c r="O61" s="8" t="n">
        <f aca="false">((F61-F60)/F60)*100</f>
        <v>1.25327653997378</v>
      </c>
      <c r="P61" s="8" t="n">
        <f aca="false">((G61-G60)/G60)*100</f>
        <v>-1.27510917030568</v>
      </c>
      <c r="Q61" s="8" t="n">
        <f aca="false">((H61-H60)/H60)*100</f>
        <v>4.84345275819535</v>
      </c>
      <c r="S61" s="9"/>
      <c r="V61" s="9" t="n">
        <f aca="false">K55-$V$4</f>
        <v>0.0345756340220004</v>
      </c>
      <c r="W61" s="9" t="n">
        <f aca="false">L55-$W$4</f>
        <v>1.37476922660246</v>
      </c>
      <c r="X61" s="9" t="n">
        <f aca="false">M55-$X$4</f>
        <v>1.73914244998323</v>
      </c>
      <c r="Y61" s="9" t="n">
        <f aca="false">N55-$Y$4</f>
        <v>1.24021585869468</v>
      </c>
      <c r="Z61" s="9" t="n">
        <f aca="false">O55-$Z$4</f>
        <v>2.01974287612565</v>
      </c>
      <c r="AA61" s="9" t="n">
        <f aca="false">P55-$AA$4</f>
        <v>-2.0950680679293</v>
      </c>
      <c r="AB61" s="9" t="n">
        <f aca="false">Q55-$AB$4</f>
        <v>-0.539666532458748</v>
      </c>
      <c r="AD61" s="19" t="s">
        <v>35</v>
      </c>
      <c r="AE61" s="20" t="n">
        <f aca="false">SUM(AE54:AE60)</f>
        <v>1</v>
      </c>
      <c r="AF61" s="20"/>
    </row>
    <row r="62" customFormat="false" ht="15.75" hidden="false" customHeight="false" outlineLevel="0" collapsed="false">
      <c r="A62" s="7" t="n">
        <v>45377</v>
      </c>
      <c r="B62" s="8" t="n">
        <v>2884.15</v>
      </c>
      <c r="C62" s="9" t="n">
        <v>3877.5</v>
      </c>
      <c r="D62" s="9" t="n">
        <v>1863.95</v>
      </c>
      <c r="E62" s="8" t="n">
        <v>2586.1</v>
      </c>
      <c r="F62" s="9" t="n">
        <v>1213.1</v>
      </c>
      <c r="G62" s="11" t="n">
        <v>1425.8</v>
      </c>
      <c r="H62" s="12" t="n">
        <v>0.640037613</v>
      </c>
      <c r="I62" s="12"/>
      <c r="J62" s="12"/>
      <c r="K62" s="8" t="n">
        <f aca="false">((B62-B61)/B61)*100</f>
        <v>-0.884910134368879</v>
      </c>
      <c r="L62" s="8" t="n">
        <f aca="false">((C62-C61)/C61)*100</f>
        <v>-0.854023370579664</v>
      </c>
      <c r="M62" s="8" t="n">
        <f aca="false">((D62-D61)/D61)*100</f>
        <v>-0.790398126463695</v>
      </c>
      <c r="N62" s="8" t="n">
        <f aca="false">((E62-E61)/E61)*100</f>
        <v>0.493510530815257</v>
      </c>
      <c r="O62" s="8" t="n">
        <f aca="false">((F62-F61)/F61)*100</f>
        <v>-1.86069088261468</v>
      </c>
      <c r="P62" s="8" t="n">
        <f aca="false">((G62-G61)/G61)*100</f>
        <v>0.905874026893132</v>
      </c>
      <c r="Q62" s="8" t="n">
        <f aca="false">((H62-H61)/H61)*100</f>
        <v>-0.201369794166952</v>
      </c>
      <c r="S62" s="9"/>
      <c r="V62" s="9" t="n">
        <f aca="false">K56-$V$4</f>
        <v>-0.961850702098741</v>
      </c>
      <c r="W62" s="9" t="n">
        <f aca="false">L56-$W$4</f>
        <v>0.239260630798881</v>
      </c>
      <c r="X62" s="9" t="n">
        <f aca="false">M56-$X$4</f>
        <v>-5.06483242865134</v>
      </c>
      <c r="Y62" s="9" t="n">
        <f aca="false">N56-$Y$4</f>
        <v>-0.261795754972552</v>
      </c>
      <c r="Z62" s="9" t="n">
        <f aca="false">O56-$Z$4</f>
        <v>1.93421289316312</v>
      </c>
      <c r="AA62" s="9" t="n">
        <f aca="false">P56-$AA$4</f>
        <v>-1.58006373427867</v>
      </c>
      <c r="AB62" s="9" t="n">
        <f aca="false">Q56-$AB$4</f>
        <v>-3.64873753399549</v>
      </c>
      <c r="AD62" s="20"/>
      <c r="AE62" s="20"/>
      <c r="AF62" s="20"/>
    </row>
    <row r="63" customFormat="false" ht="15.75" hidden="false" customHeight="false" outlineLevel="0" collapsed="false">
      <c r="A63" s="7" t="n">
        <v>45378</v>
      </c>
      <c r="B63" s="8" t="n">
        <v>2987.85</v>
      </c>
      <c r="C63" s="9" t="n">
        <v>3840.9</v>
      </c>
      <c r="D63" s="9" t="n">
        <v>1881.15</v>
      </c>
      <c r="E63" s="8" t="n">
        <v>2566.45</v>
      </c>
      <c r="F63" s="9" t="n">
        <v>1224.8</v>
      </c>
      <c r="G63" s="11" t="n">
        <v>1422.65</v>
      </c>
      <c r="H63" s="12" t="n">
        <v>0.632865919</v>
      </c>
      <c r="I63" s="12"/>
      <c r="J63" s="12"/>
      <c r="K63" s="8" t="n">
        <f aca="false">((B63-B62)/B62)*100</f>
        <v>3.59551340949673</v>
      </c>
      <c r="L63" s="8" t="n">
        <f aca="false">((C63-C62)/C62)*100</f>
        <v>-0.943907156673112</v>
      </c>
      <c r="M63" s="8" t="n">
        <f aca="false">((D63-D62)/D62)*100</f>
        <v>0.922771533571182</v>
      </c>
      <c r="N63" s="8" t="n">
        <f aca="false">((E63-E62)/E62)*100</f>
        <v>-0.7598314063648</v>
      </c>
      <c r="O63" s="8" t="n">
        <f aca="false">((F63-F62)/F62)*100</f>
        <v>0.964471189514471</v>
      </c>
      <c r="P63" s="8" t="n">
        <f aca="false">((G63-G62)/G62)*100</f>
        <v>-0.220928601486875</v>
      </c>
      <c r="Q63" s="8" t="n">
        <f aca="false">((H63-H62)/H62)*100</f>
        <v>-1.12051133469869</v>
      </c>
      <c r="S63" s="9"/>
      <c r="V63" s="9" t="n">
        <f aca="false">K57-$V$4</f>
        <v>1.46396219443647</v>
      </c>
      <c r="W63" s="9" t="n">
        <f aca="false">L57-$W$4</f>
        <v>-1.61965402256429</v>
      </c>
      <c r="X63" s="9" t="n">
        <f aca="false">M57-$X$4</f>
        <v>2.89376598454265</v>
      </c>
      <c r="Y63" s="9" t="n">
        <f aca="false">N57-$Y$4</f>
        <v>-0.808401273175157</v>
      </c>
      <c r="Z63" s="9" t="n">
        <f aca="false">O57-$Z$4</f>
        <v>0.242404399751495</v>
      </c>
      <c r="AA63" s="9" t="n">
        <f aca="false">P57-$AA$4</f>
        <v>-0.992693466053201</v>
      </c>
      <c r="AB63" s="9" t="n">
        <f aca="false">Q57-$AB$4</f>
        <v>-8.15538122630954</v>
      </c>
      <c r="AD63" s="19" t="s">
        <v>36</v>
      </c>
      <c r="AE63" s="20" t="n">
        <f aca="false" t="array" ref="AE63:AE63">MMULT(TRANSPOSE(AE54:AE60),AE17:AE23)</f>
        <v>0.337750487635563</v>
      </c>
      <c r="AF63" s="20"/>
    </row>
    <row r="64" customFormat="false" ht="15.75" hidden="false" customHeight="false" outlineLevel="0" collapsed="false">
      <c r="A64" s="7" t="n">
        <v>45379</v>
      </c>
      <c r="B64" s="8" t="n">
        <v>2976.8</v>
      </c>
      <c r="C64" s="9" t="n">
        <v>3876.3</v>
      </c>
      <c r="D64" s="9" t="n">
        <v>1921.35</v>
      </c>
      <c r="E64" s="8" t="n">
        <v>2622.35</v>
      </c>
      <c r="F64" s="9" t="n">
        <v>1228.6</v>
      </c>
      <c r="G64" s="11" t="n">
        <v>1423</v>
      </c>
      <c r="H64" s="12" t="n">
        <v>0.612301666</v>
      </c>
      <c r="I64" s="12"/>
      <c r="J64" s="12"/>
      <c r="K64" s="8" t="n">
        <f aca="false">((B64-B63)/B63)*100</f>
        <v>-0.369831149488754</v>
      </c>
      <c r="L64" s="8" t="n">
        <f aca="false">((C64-C63)/C63)*100</f>
        <v>0.921658986175118</v>
      </c>
      <c r="M64" s="8" t="n">
        <f aca="false">((D64-D63)/D63)*100</f>
        <v>2.13699067060042</v>
      </c>
      <c r="N64" s="8" t="n">
        <f aca="false">((E64-E63)/E63)*100</f>
        <v>2.17810594400826</v>
      </c>
      <c r="O64" s="8" t="n">
        <f aca="false">((F64-F63)/F63)*100</f>
        <v>0.310254735467011</v>
      </c>
      <c r="P64" s="8" t="n">
        <f aca="false">((G64-G63)/G63)*100</f>
        <v>0.0246019751871443</v>
      </c>
      <c r="Q64" s="8" t="n">
        <f aca="false">((H64-H63)/H63)*100</f>
        <v>-3.2493854357798</v>
      </c>
      <c r="S64" s="9"/>
      <c r="V64" s="9" t="n">
        <f aca="false">K58-$V$4</f>
        <v>-0.943506277255864</v>
      </c>
      <c r="W64" s="9" t="n">
        <f aca="false">L58-$W$4</f>
        <v>-4.25676439407082</v>
      </c>
      <c r="X64" s="9" t="n">
        <f aca="false">M58-$X$4</f>
        <v>-0.903389595349834</v>
      </c>
      <c r="Y64" s="9" t="n">
        <f aca="false">N58-$Y$4</f>
        <v>-3.18050238847376</v>
      </c>
      <c r="Z64" s="9" t="n">
        <f aca="false">O58-$Z$4</f>
        <v>0.0568968024150114</v>
      </c>
      <c r="AA64" s="9" t="n">
        <f aca="false">P58-$AA$4</f>
        <v>0.331056418688264</v>
      </c>
      <c r="AB64" s="9" t="n">
        <f aca="false">Q58-$AB$4</f>
        <v>4.93485208757706</v>
      </c>
      <c r="AD64" s="19" t="s">
        <v>37</v>
      </c>
      <c r="AE64" s="20" t="e">
        <f aca="false" t="array" ref="AE64:AE64">SQRT(MMULT(MMULT(TRANSPOSE(AE54:AE60),_xlfn.anchorarray(AE5)),AE54:AE60))</f>
        <v>#NAME?</v>
      </c>
      <c r="AF64" s="20"/>
    </row>
    <row r="65" customFormat="false" ht="15.75" hidden="false" customHeight="false" outlineLevel="0" collapsed="false">
      <c r="A65" s="7" t="n">
        <v>45383</v>
      </c>
      <c r="B65" s="8" t="n">
        <v>2969.5</v>
      </c>
      <c r="C65" s="9" t="n">
        <v>3916.75</v>
      </c>
      <c r="D65" s="9" t="n">
        <v>1915.95</v>
      </c>
      <c r="E65" s="8" t="n">
        <v>2585.6</v>
      </c>
      <c r="F65" s="9" t="n">
        <v>1217.35</v>
      </c>
      <c r="G65" s="11" t="n">
        <v>1435</v>
      </c>
      <c r="H65" s="12" t="n">
        <v>0.628962632</v>
      </c>
      <c r="I65" s="12"/>
      <c r="J65" s="12"/>
      <c r="K65" s="8" t="n">
        <f aca="false">((B65-B64)/B64)*100</f>
        <v>-0.245229776941688</v>
      </c>
      <c r="L65" s="8" t="n">
        <f aca="false">((C65-C64)/C64)*100</f>
        <v>1.04352088331656</v>
      </c>
      <c r="M65" s="8" t="n">
        <f aca="false">((D65-D64)/D64)*100</f>
        <v>-0.28105238504176</v>
      </c>
      <c r="N65" s="8" t="n">
        <f aca="false">((E65-E64)/E64)*100</f>
        <v>-1.40141476156882</v>
      </c>
      <c r="O65" s="8" t="n">
        <f aca="false">((F65-F64)/F64)*100</f>
        <v>-0.915676379619079</v>
      </c>
      <c r="P65" s="8" t="n">
        <f aca="false">((G65-G64)/G64)*100</f>
        <v>0.84328882642305</v>
      </c>
      <c r="Q65" s="8" t="n">
        <f aca="false">((H65-H64)/H64)*100</f>
        <v>2.72103881553051</v>
      </c>
      <c r="S65" s="9"/>
      <c r="V65" s="9" t="n">
        <f aca="false">K59-$V$4</f>
        <v>1.27995591257749</v>
      </c>
      <c r="W65" s="9" t="n">
        <f aca="false">L59-$W$4</f>
        <v>-0.198532483063149</v>
      </c>
      <c r="X65" s="9" t="n">
        <f aca="false">M59-$X$4</f>
        <v>-0.221657171804401</v>
      </c>
      <c r="Y65" s="9" t="n">
        <f aca="false">N59-$Y$4</f>
        <v>2.2579271352583</v>
      </c>
      <c r="Z65" s="9" t="n">
        <f aca="false">O59-$Z$4</f>
        <v>0.088842744672418</v>
      </c>
      <c r="AA65" s="9" t="n">
        <f aca="false">P59-$AA$4</f>
        <v>-0.763581875511975</v>
      </c>
      <c r="AB65" s="9" t="n">
        <f aca="false">Q59-$AB$4</f>
        <v>-11.180239766406</v>
      </c>
      <c r="AD65" s="19" t="s">
        <v>38</v>
      </c>
      <c r="AE65" s="20" t="e">
        <f aca="false">(AE63-AD14)/AE64</f>
        <v>#NAME?</v>
      </c>
      <c r="AF65" s="20"/>
    </row>
    <row r="66" customFormat="false" ht="15.75" hidden="false" customHeight="false" outlineLevel="0" collapsed="false">
      <c r="A66" s="7" t="n">
        <v>45384</v>
      </c>
      <c r="B66" s="8" t="n">
        <v>2971.3</v>
      </c>
      <c r="C66" s="9" t="n">
        <v>3883.8</v>
      </c>
      <c r="D66" s="9" t="n">
        <v>1971.95</v>
      </c>
      <c r="E66" s="8" t="n">
        <v>2623.3</v>
      </c>
      <c r="F66" s="9" t="n">
        <v>1208.25</v>
      </c>
      <c r="G66" s="11" t="n">
        <v>1472</v>
      </c>
      <c r="H66" s="12" t="n">
        <v>0.6121527</v>
      </c>
      <c r="I66" s="12"/>
      <c r="J66" s="12"/>
      <c r="K66" s="8" t="n">
        <f aca="false">((B66-B65)/B65)*100</f>
        <v>0.0606162653645456</v>
      </c>
      <c r="L66" s="8" t="n">
        <f aca="false">((C66-C65)/C65)*100</f>
        <v>-0.841258696623472</v>
      </c>
      <c r="M66" s="8" t="n">
        <f aca="false">((D66-D65)/D65)*100</f>
        <v>2.92283201544926</v>
      </c>
      <c r="N66" s="8" t="n">
        <f aca="false">((E66-E65)/E65)*100</f>
        <v>1.45807549504952</v>
      </c>
      <c r="O66" s="8" t="n">
        <f aca="false">((F66-F65)/F65)*100</f>
        <v>-0.747525362467648</v>
      </c>
      <c r="P66" s="8" t="n">
        <f aca="false">((G66-G65)/G65)*100</f>
        <v>2.57839721254355</v>
      </c>
      <c r="Q66" s="8" t="n">
        <f aca="false">((H66-H65)/H65)*100</f>
        <v>-2.67264399262435</v>
      </c>
      <c r="S66" s="9"/>
      <c r="V66" s="9" t="n">
        <f aca="false">K60-$V$4</f>
        <v>0.517662684486416</v>
      </c>
      <c r="W66" s="9" t="n">
        <f aca="false">L60-$W$4</f>
        <v>0.0140062753123329</v>
      </c>
      <c r="X66" s="9" t="n">
        <f aca="false">M60-$X$4</f>
        <v>0.91420622105018</v>
      </c>
      <c r="Y66" s="9" t="n">
        <f aca="false">N60-$Y$4</f>
        <v>0.219816537217654</v>
      </c>
      <c r="Z66" s="9" t="n">
        <f aca="false">O60-$Z$4</f>
        <v>-1.08502394048896</v>
      </c>
      <c r="AA66" s="9" t="n">
        <f aca="false">P60-$AA$4</f>
        <v>-2.59332652179463</v>
      </c>
      <c r="AB66" s="9" t="n">
        <f aca="false">Q60-$AB$4</f>
        <v>3.84223325720178</v>
      </c>
    </row>
    <row r="67" customFormat="false" ht="15.75" hidden="false" customHeight="false" outlineLevel="0" collapsed="false">
      <c r="A67" s="7" t="n">
        <v>45385</v>
      </c>
      <c r="B67" s="8" t="n">
        <v>2942.4</v>
      </c>
      <c r="C67" s="9" t="n">
        <v>3947.3</v>
      </c>
      <c r="D67" s="9" t="n">
        <v>1989.3</v>
      </c>
      <c r="E67" s="8" t="n">
        <v>2553.95</v>
      </c>
      <c r="F67" s="9" t="n">
        <v>1225.7</v>
      </c>
      <c r="G67" s="11" t="n">
        <v>1491.65</v>
      </c>
      <c r="H67" s="12" t="n">
        <v>0.585237207</v>
      </c>
      <c r="I67" s="12"/>
      <c r="J67" s="12"/>
      <c r="K67" s="8" t="n">
        <f aca="false">((B67-B66)/B66)*100</f>
        <v>-0.972638239154582</v>
      </c>
      <c r="L67" s="8" t="n">
        <f aca="false">((C67-C66)/C66)*100</f>
        <v>1.63499665276276</v>
      </c>
      <c r="M67" s="8" t="n">
        <f aca="false">((D67-D66)/D66)*100</f>
        <v>0.879839752529218</v>
      </c>
      <c r="N67" s="8" t="n">
        <f aca="false">((E67-E66)/E66)*100</f>
        <v>-2.64361681851105</v>
      </c>
      <c r="O67" s="8" t="n">
        <f aca="false">((F67-F66)/F66)*100</f>
        <v>1.44423753362301</v>
      </c>
      <c r="P67" s="8" t="n">
        <f aca="false">((G67-G66)/G66)*100</f>
        <v>1.33491847826088</v>
      </c>
      <c r="Q67" s="8" t="n">
        <f aca="false">((H67-H66)/H66)*100</f>
        <v>-4.39685931304395</v>
      </c>
      <c r="S67" s="9"/>
      <c r="V67" s="9" t="n">
        <f aca="false">K61-$V$4</f>
        <v>0.311795262677664</v>
      </c>
      <c r="W67" s="9" t="n">
        <f aca="false">L61-$W$4</f>
        <v>-1.59943105272625</v>
      </c>
      <c r="X67" s="9" t="n">
        <f aca="false">M61-$X$4</f>
        <v>0.445280038682101</v>
      </c>
      <c r="Y67" s="9" t="n">
        <f aca="false">N61-$Y$4</f>
        <v>0.859899050916377</v>
      </c>
      <c r="Z67" s="9" t="n">
        <f aca="false">O61-$Z$4</f>
        <v>1.06125471021709</v>
      </c>
      <c r="AA67" s="9" t="n">
        <f aca="false">P61-$AA$4</f>
        <v>-1.25556868294846</v>
      </c>
      <c r="AB67" s="9" t="n">
        <f aca="false">Q61-$AB$4</f>
        <v>4.1641950417922</v>
      </c>
    </row>
    <row r="68" customFormat="false" ht="15.75" hidden="false" customHeight="false" outlineLevel="0" collapsed="false">
      <c r="A68" s="7" t="n">
        <v>45386</v>
      </c>
      <c r="B68" s="8" t="n">
        <v>2926.45</v>
      </c>
      <c r="C68" s="9" t="n">
        <v>4003.3</v>
      </c>
      <c r="D68" s="9" t="n">
        <v>2002.7</v>
      </c>
      <c r="E68" s="8" t="n">
        <v>2549.6</v>
      </c>
      <c r="F68" s="9" t="n">
        <v>1206.85</v>
      </c>
      <c r="G68" s="11" t="n">
        <v>1497.35</v>
      </c>
      <c r="H68" s="12" t="n">
        <v>0.575390505</v>
      </c>
      <c r="I68" s="12"/>
      <c r="J68" s="12"/>
      <c r="K68" s="8" t="n">
        <f aca="false">((B68-B67)/B67)*100</f>
        <v>-0.542074497009253</v>
      </c>
      <c r="L68" s="8" t="n">
        <f aca="false">((C68-C67)/C67)*100</f>
        <v>1.41869125731513</v>
      </c>
      <c r="M68" s="8" t="n">
        <f aca="false">((D68-D67)/D67)*100</f>
        <v>0.673603780224204</v>
      </c>
      <c r="N68" s="8" t="n">
        <f aca="false">((E68-E67)/E67)*100</f>
        <v>-0.170324399459657</v>
      </c>
      <c r="O68" s="8" t="n">
        <f aca="false">((F68-F67)/F67)*100</f>
        <v>-1.5378967120829</v>
      </c>
      <c r="P68" s="8" t="n">
        <f aca="false">((G68-G67)/G67)*100</f>
        <v>0.382127174605291</v>
      </c>
      <c r="Q68" s="8" t="n">
        <f aca="false">((H68-H67)/H67)*100</f>
        <v>-1.68251469356767</v>
      </c>
      <c r="S68" s="9"/>
      <c r="V68" s="9" t="n">
        <f aca="false">K62-$V$4</f>
        <v>-0.869533718415094</v>
      </c>
      <c r="W68" s="9" t="n">
        <f aca="false">L62-$W$4</f>
        <v>-0.891642671333204</v>
      </c>
      <c r="X68" s="9" t="n">
        <f aca="false">M62-$X$4</f>
        <v>-1.0391717362528</v>
      </c>
      <c r="Y68" s="9" t="n">
        <f aca="false">N62-$Y$4</f>
        <v>0.580006805313566</v>
      </c>
      <c r="Z68" s="9" t="n">
        <f aca="false">O62-$Z$4</f>
        <v>-2.05271271237137</v>
      </c>
      <c r="AA68" s="9" t="n">
        <f aca="false">P62-$AA$4</f>
        <v>0.925414514250349</v>
      </c>
      <c r="AB68" s="9" t="n">
        <f aca="false">Q62-$AB$4</f>
        <v>-0.880627510570101</v>
      </c>
    </row>
    <row r="69" customFormat="false" ht="15.75" hidden="false" customHeight="false" outlineLevel="0" collapsed="false">
      <c r="A69" s="7" t="n">
        <v>45387</v>
      </c>
      <c r="B69" s="8" t="n">
        <v>2919.95</v>
      </c>
      <c r="C69" s="9" t="n">
        <v>3979.25</v>
      </c>
      <c r="D69" s="9" t="n">
        <v>2013.3</v>
      </c>
      <c r="E69" s="8" t="n">
        <v>2537.65</v>
      </c>
      <c r="F69" s="9" t="n">
        <v>1191</v>
      </c>
      <c r="G69" s="11" t="n">
        <v>1510</v>
      </c>
      <c r="H69" s="12" t="n">
        <v>0.59346244</v>
      </c>
      <c r="I69" s="12"/>
      <c r="J69" s="12"/>
      <c r="K69" s="8" t="n">
        <f aca="false">((B69-B68)/B68)*100</f>
        <v>-0.222112115361616</v>
      </c>
      <c r="L69" s="8" t="n">
        <f aca="false">((C69-C68)/C68)*100</f>
        <v>-0.600754377638453</v>
      </c>
      <c r="M69" s="8" t="n">
        <f aca="false">((D69-D68)/D68)*100</f>
        <v>0.529285464622755</v>
      </c>
      <c r="N69" s="8" t="n">
        <f aca="false">((E69-E68)/E68)*100</f>
        <v>-0.468700972701593</v>
      </c>
      <c r="O69" s="8" t="n">
        <f aca="false">((F69-F68)/F68)*100</f>
        <v>-1.31333637154575</v>
      </c>
      <c r="P69" s="8" t="n">
        <f aca="false">((G69-G68)/G68)*100</f>
        <v>0.844825859017604</v>
      </c>
      <c r="Q69" s="8" t="n">
        <f aca="false">((H69-H68)/H68)*100</f>
        <v>3.14081216894603</v>
      </c>
      <c r="S69" s="9"/>
      <c r="V69" s="9" t="n">
        <f aca="false">K63-$V$4</f>
        <v>3.61088982545051</v>
      </c>
      <c r="W69" s="9" t="n">
        <f aca="false">L63-$W$4</f>
        <v>-0.981526457426651</v>
      </c>
      <c r="X69" s="9" t="n">
        <f aca="false">M63-$X$4</f>
        <v>0.673997923782075</v>
      </c>
      <c r="Y69" s="9" t="n">
        <f aca="false">N63-$Y$4</f>
        <v>-0.673335131866491</v>
      </c>
      <c r="Z69" s="9" t="n">
        <f aca="false">O63-$Z$4</f>
        <v>0.772449359757773</v>
      </c>
      <c r="AA69" s="9" t="n">
        <f aca="false">P63-$AA$4</f>
        <v>-0.201388114129658</v>
      </c>
      <c r="AB69" s="9" t="n">
        <f aca="false">Q63-$AB$4</f>
        <v>-1.79976905110184</v>
      </c>
    </row>
    <row r="70" customFormat="false" ht="15.75" hidden="false" customHeight="false" outlineLevel="0" collapsed="false">
      <c r="A70" s="7" t="n">
        <v>45390</v>
      </c>
      <c r="B70" s="8" t="n">
        <v>2971</v>
      </c>
      <c r="C70" s="9" t="n">
        <v>3972.55</v>
      </c>
      <c r="D70" s="9" t="n">
        <v>2078.1</v>
      </c>
      <c r="E70" s="8" t="n">
        <v>2498.05</v>
      </c>
      <c r="F70" s="9" t="n">
        <v>1204.7</v>
      </c>
      <c r="G70" s="11" t="n">
        <v>1554</v>
      </c>
      <c r="H70" s="12" t="n">
        <v>0.594670603</v>
      </c>
      <c r="I70" s="12"/>
      <c r="J70" s="12"/>
      <c r="K70" s="8" t="n">
        <f aca="false">((B70-B69)/B69)*100</f>
        <v>1.74831760817823</v>
      </c>
      <c r="L70" s="8" t="n">
        <f aca="false">((C70-C69)/C69)*100</f>
        <v>-0.168373437205499</v>
      </c>
      <c r="M70" s="8" t="n">
        <f aca="false">((D70-D69)/D69)*100</f>
        <v>3.2185963343764</v>
      </c>
      <c r="N70" s="8" t="n">
        <f aca="false">((E70-E69)/E69)*100</f>
        <v>-1.56049888676531</v>
      </c>
      <c r="O70" s="8" t="n">
        <f aca="false">((F70-F69)/F69)*100</f>
        <v>1.1502938706969</v>
      </c>
      <c r="P70" s="8" t="n">
        <f aca="false">((G70-G69)/G69)*100</f>
        <v>2.91390728476821</v>
      </c>
      <c r="Q70" s="8" t="n">
        <f aca="false">((H70-H69)/H69)*100</f>
        <v>0.203578679722331</v>
      </c>
      <c r="S70" s="9"/>
      <c r="V70" s="9" t="n">
        <f aca="false">K64-$V$4</f>
        <v>-0.354454733534969</v>
      </c>
      <c r="W70" s="9" t="n">
        <f aca="false">L64-$W$4</f>
        <v>0.884039685421578</v>
      </c>
      <c r="X70" s="9" t="n">
        <f aca="false">M64-$X$4</f>
        <v>1.88821706081131</v>
      </c>
      <c r="Y70" s="9" t="n">
        <f aca="false">N64-$Y$4</f>
        <v>2.26460221850657</v>
      </c>
      <c r="Z70" s="9" t="n">
        <f aca="false">O64-$Z$4</f>
        <v>0.118232905710313</v>
      </c>
      <c r="AA70" s="9" t="n">
        <f aca="false">P64-$AA$4</f>
        <v>0.0441424625443611</v>
      </c>
      <c r="AB70" s="9" t="n">
        <f aca="false">Q64-$AB$4</f>
        <v>-3.92864315218295</v>
      </c>
    </row>
    <row r="71" customFormat="false" ht="15.75" hidden="false" customHeight="false" outlineLevel="0" collapsed="false">
      <c r="A71" s="7" t="n">
        <v>45391</v>
      </c>
      <c r="B71" s="8" t="n">
        <v>2927.1</v>
      </c>
      <c r="C71" s="9" t="n">
        <v>3946.55</v>
      </c>
      <c r="D71" s="9" t="n">
        <v>2090.9</v>
      </c>
      <c r="E71" s="8" t="n">
        <v>2502.8</v>
      </c>
      <c r="F71" s="9" t="n">
        <v>1204.45</v>
      </c>
      <c r="G71" s="11" t="n">
        <v>1520</v>
      </c>
      <c r="H71" s="12" t="n">
        <v>0.615543456</v>
      </c>
      <c r="I71" s="12"/>
      <c r="J71" s="12"/>
      <c r="K71" s="8" t="n">
        <f aca="false">((B71-B70)/B70)*100</f>
        <v>-1.47761696398519</v>
      </c>
      <c r="L71" s="8" t="n">
        <f aca="false">((C71-C70)/C70)*100</f>
        <v>-0.654491447558873</v>
      </c>
      <c r="M71" s="8" t="n">
        <f aca="false">((D71-D70)/D70)*100</f>
        <v>0.615947259515913</v>
      </c>
      <c r="N71" s="8" t="n">
        <f aca="false">((E71-E70)/E70)*100</f>
        <v>0.190148315686235</v>
      </c>
      <c r="O71" s="8" t="n">
        <f aca="false">((F71-F70)/F70)*100</f>
        <v>-0.0207520544533909</v>
      </c>
      <c r="P71" s="8" t="n">
        <f aca="false">((G71-G70)/G70)*100</f>
        <v>-2.18790218790219</v>
      </c>
      <c r="Q71" s="8" t="n">
        <f aca="false">((H71-H70)/H70)*100</f>
        <v>3.50998567857575</v>
      </c>
      <c r="S71" s="9"/>
      <c r="V71" s="9" t="n">
        <f aca="false">K65-$V$4</f>
        <v>-0.229853360987904</v>
      </c>
      <c r="W71" s="9" t="n">
        <f aca="false">L65-$W$4</f>
        <v>1.00590158256302</v>
      </c>
      <c r="X71" s="9" t="n">
        <f aca="false">M65-$X$4</f>
        <v>-0.529825994830868</v>
      </c>
      <c r="Y71" s="9" t="n">
        <f aca="false">N65-$Y$4</f>
        <v>-1.31491848707051</v>
      </c>
      <c r="Z71" s="9" t="n">
        <f aca="false">O65-$Z$4</f>
        <v>-1.10769820937578</v>
      </c>
      <c r="AA71" s="9" t="n">
        <f aca="false">P65-$AA$4</f>
        <v>0.862829313780267</v>
      </c>
      <c r="AB71" s="9" t="n">
        <f aca="false">Q65-$AB$4</f>
        <v>2.04178109912736</v>
      </c>
    </row>
    <row r="72" customFormat="false" ht="15.75" hidden="false" customHeight="false" outlineLevel="0" collapsed="false">
      <c r="A72" s="7" t="n">
        <v>45392</v>
      </c>
      <c r="B72" s="8" t="n">
        <v>2958.6</v>
      </c>
      <c r="C72" s="9" t="n">
        <v>3984.65</v>
      </c>
      <c r="D72" s="9" t="n">
        <v>2076.2</v>
      </c>
      <c r="E72" s="8" t="n">
        <v>2527.6</v>
      </c>
      <c r="F72" s="9" t="n">
        <v>1229.4</v>
      </c>
      <c r="G72" s="11" t="n">
        <v>1553.35</v>
      </c>
      <c r="H72" s="12" t="n">
        <v>0.613693938</v>
      </c>
      <c r="I72" s="12"/>
      <c r="J72" s="12"/>
      <c r="K72" s="8" t="n">
        <f aca="false">((B72-B71)/B71)*100</f>
        <v>1.07615045608281</v>
      </c>
      <c r="L72" s="8" t="n">
        <f aca="false">((C72-C71)/C71)*100</f>
        <v>0.965400159633095</v>
      </c>
      <c r="M72" s="8" t="n">
        <f aca="false">((D72-D71)/D71)*100</f>
        <v>-0.703046534984948</v>
      </c>
      <c r="N72" s="8" t="n">
        <f aca="false">((E72-E71)/E71)*100</f>
        <v>0.99089020297266</v>
      </c>
      <c r="O72" s="8" t="n">
        <f aca="false">((F72-F71)/F71)*100</f>
        <v>2.07148491012496</v>
      </c>
      <c r="P72" s="8" t="n">
        <f aca="false">((G72-G71)/G71)*100</f>
        <v>2.19407894736842</v>
      </c>
      <c r="Q72" s="8" t="n">
        <f aca="false">((H72-H71)/H71)*100</f>
        <v>-0.30046911911285</v>
      </c>
      <c r="S72" s="9"/>
      <c r="V72" s="9" t="n">
        <f aca="false">K66-$V$4</f>
        <v>0.0759926813183301</v>
      </c>
      <c r="W72" s="9" t="n">
        <f aca="false">L66-$W$4</f>
        <v>-0.878877997377011</v>
      </c>
      <c r="X72" s="9" t="n">
        <f aca="false">M66-$X$4</f>
        <v>2.67405840566015</v>
      </c>
      <c r="Y72" s="9" t="n">
        <f aca="false">N66-$Y$4</f>
        <v>1.54457176954782</v>
      </c>
      <c r="Z72" s="9" t="n">
        <f aca="false">O66-$Z$4</f>
        <v>-0.939547192224346</v>
      </c>
      <c r="AA72" s="9" t="n">
        <f aca="false">P66-$AA$4</f>
        <v>2.59793769990077</v>
      </c>
      <c r="AB72" s="9" t="n">
        <f aca="false">Q66-$AB$4</f>
        <v>-3.3519017090275</v>
      </c>
    </row>
    <row r="73" customFormat="false" ht="15.75" hidden="false" customHeight="false" outlineLevel="0" collapsed="false">
      <c r="A73" s="7" t="n">
        <v>45394</v>
      </c>
      <c r="B73" s="8" t="n">
        <v>2935.1</v>
      </c>
      <c r="C73" s="9" t="n">
        <v>4001.4</v>
      </c>
      <c r="D73" s="9" t="n">
        <v>2070.95</v>
      </c>
      <c r="E73" s="8" t="n">
        <v>2536.2</v>
      </c>
      <c r="F73" s="9" t="n">
        <v>1225.55</v>
      </c>
      <c r="G73" s="11" t="n">
        <v>1520</v>
      </c>
      <c r="H73" s="12" t="n">
        <v>0.608853507</v>
      </c>
      <c r="I73" s="12"/>
      <c r="J73" s="12"/>
      <c r="K73" s="8" t="n">
        <f aca="false">((B73-B72)/B72)*100</f>
        <v>-0.794294598796728</v>
      </c>
      <c r="L73" s="8" t="n">
        <f aca="false">((C73-C72)/C72)*100</f>
        <v>0.420363143563425</v>
      </c>
      <c r="M73" s="8" t="n">
        <f aca="false">((D73-D72)/D72)*100</f>
        <v>-0.252865812542144</v>
      </c>
      <c r="N73" s="8" t="n">
        <f aca="false">((E73-E72)/E72)*100</f>
        <v>0.340243709447694</v>
      </c>
      <c r="O73" s="8" t="n">
        <f aca="false">((F73-F72)/F72)*100</f>
        <v>-0.313160891491796</v>
      </c>
      <c r="P73" s="8" t="n">
        <f aca="false">((G73-G72)/G72)*100</f>
        <v>-2.14697267196703</v>
      </c>
      <c r="Q73" s="8" t="n">
        <f aca="false">((H73-H72)/H72)*100</f>
        <v>-0.788736974618786</v>
      </c>
      <c r="S73" s="9"/>
      <c r="V73" s="9" t="n">
        <f aca="false">K67-$V$4</f>
        <v>-0.957261823200797</v>
      </c>
      <c r="W73" s="9" t="n">
        <f aca="false">L67-$W$4</f>
        <v>1.59737735200922</v>
      </c>
      <c r="X73" s="9" t="n">
        <f aca="false">M67-$X$4</f>
        <v>0.631066142740111</v>
      </c>
      <c r="Y73" s="9" t="n">
        <f aca="false">N67-$Y$4</f>
        <v>-2.55712054401274</v>
      </c>
      <c r="Z73" s="9" t="n">
        <f aca="false">O67-$Z$4</f>
        <v>1.25221570386631</v>
      </c>
      <c r="AA73" s="9" t="n">
        <f aca="false">P67-$AA$4</f>
        <v>1.35445896561809</v>
      </c>
      <c r="AB73" s="9" t="n">
        <f aca="false">Q67-$AB$4</f>
        <v>-5.07611702944709</v>
      </c>
    </row>
    <row r="74" customFormat="false" ht="15.75" hidden="false" customHeight="false" outlineLevel="0" collapsed="false">
      <c r="A74" s="7" t="n">
        <v>45397</v>
      </c>
      <c r="B74" s="8" t="n">
        <v>2932.9</v>
      </c>
      <c r="C74" s="9" t="n">
        <v>3941.2</v>
      </c>
      <c r="D74" s="9" t="n">
        <v>2053.45</v>
      </c>
      <c r="E74" s="8" t="n">
        <v>2553.65</v>
      </c>
      <c r="F74" s="9" t="n">
        <v>1224.55</v>
      </c>
      <c r="G74" s="11" t="n">
        <v>1563.35</v>
      </c>
      <c r="H74" s="12" t="n">
        <v>0.505139451</v>
      </c>
      <c r="I74" s="12"/>
      <c r="J74" s="12"/>
      <c r="K74" s="8" t="n">
        <f aca="false">((B74-B73)/B73)*100</f>
        <v>-0.0749548567340063</v>
      </c>
      <c r="L74" s="8" t="n">
        <f aca="false">((C74-C73)/C73)*100</f>
        <v>-1.504473434298</v>
      </c>
      <c r="M74" s="8" t="n">
        <f aca="false">((D74-D73)/D73)*100</f>
        <v>-0.845022815616022</v>
      </c>
      <c r="N74" s="8" t="n">
        <f aca="false">((E74-E73)/E73)*100</f>
        <v>0.688037221039361</v>
      </c>
      <c r="O74" s="8" t="n">
        <f aca="false">((F74-F73)/F73)*100</f>
        <v>-0.081596018114316</v>
      </c>
      <c r="P74" s="8" t="n">
        <f aca="false">((G74-G73)/G73)*100</f>
        <v>2.85197368421052</v>
      </c>
      <c r="Q74" s="8" t="n">
        <f aca="false">((H74-H73)/H73)*100</f>
        <v>-17.0343202112819</v>
      </c>
      <c r="S74" s="9"/>
      <c r="V74" s="9" t="n">
        <f aca="false">K68-$V$4</f>
        <v>-0.526698081055469</v>
      </c>
      <c r="W74" s="9" t="n">
        <f aca="false">L68-$W$4</f>
        <v>1.38107195656159</v>
      </c>
      <c r="X74" s="9" t="n">
        <f aca="false">M68-$X$4</f>
        <v>0.424830170435097</v>
      </c>
      <c r="Y74" s="9" t="n">
        <f aca="false">N68-$Y$4</f>
        <v>-0.0838281249613482</v>
      </c>
      <c r="Z74" s="9" t="n">
        <f aca="false">O68-$Z$4</f>
        <v>-1.7299185418396</v>
      </c>
      <c r="AA74" s="9" t="n">
        <f aca="false">P68-$AA$4</f>
        <v>0.401667661962507</v>
      </c>
      <c r="AB74" s="9" t="n">
        <f aca="false">Q68-$AB$4</f>
        <v>-2.36177240997082</v>
      </c>
    </row>
    <row r="75" customFormat="false" ht="15.75" hidden="false" customHeight="false" outlineLevel="0" collapsed="false">
      <c r="A75" s="7" t="n">
        <v>45398</v>
      </c>
      <c r="B75" s="8" t="n">
        <v>2934.45</v>
      </c>
      <c r="C75" s="9" t="n">
        <v>3872.8</v>
      </c>
      <c r="D75" s="9" t="n">
        <v>2031.3</v>
      </c>
      <c r="E75" s="8" t="n">
        <v>2546.1</v>
      </c>
      <c r="F75" s="9" t="n">
        <v>1216.45</v>
      </c>
      <c r="G75" s="11" t="n">
        <v>1591.6</v>
      </c>
      <c r="H75" s="12" t="n">
        <v>0.497455788</v>
      </c>
      <c r="I75" s="12"/>
      <c r="J75" s="12"/>
      <c r="K75" s="8" t="n">
        <f aca="false">((B75-B74)/B74)*100</f>
        <v>0.0528487162876241</v>
      </c>
      <c r="L75" s="8" t="n">
        <f aca="false">((C75-C74)/C74)*100</f>
        <v>-1.73551202679386</v>
      </c>
      <c r="M75" s="8" t="n">
        <f aca="false">((D75-D74)/D74)*100</f>
        <v>-1.07867247802478</v>
      </c>
      <c r="N75" s="8" t="n">
        <f aca="false">((E75-E74)/E74)*100</f>
        <v>-0.295655238580079</v>
      </c>
      <c r="O75" s="8" t="n">
        <f aca="false">((F75-F74)/F74)*100</f>
        <v>-0.661467477848998</v>
      </c>
      <c r="P75" s="8" t="n">
        <f aca="false">((G75-G74)/G74)*100</f>
        <v>1.80701698276138</v>
      </c>
      <c r="Q75" s="8" t="n">
        <f aca="false">((H75-H74)/H74)*100</f>
        <v>-1.52109738900595</v>
      </c>
      <c r="S75" s="9"/>
      <c r="V75" s="9" t="n">
        <f aca="false">K69-$V$4</f>
        <v>-0.206735699407831</v>
      </c>
      <c r="W75" s="9" t="n">
        <f aca="false">L69-$W$4</f>
        <v>-0.638373678391992</v>
      </c>
      <c r="X75" s="9" t="n">
        <f aca="false">M69-$X$4</f>
        <v>0.280511854833647</v>
      </c>
      <c r="Y75" s="9" t="n">
        <f aca="false">N69-$Y$4</f>
        <v>-0.382204698203284</v>
      </c>
      <c r="Z75" s="9" t="n">
        <f aca="false">O69-$Z$4</f>
        <v>-1.50535820130245</v>
      </c>
      <c r="AA75" s="9" t="n">
        <f aca="false">P69-$AA$4</f>
        <v>0.864366346374821</v>
      </c>
      <c r="AB75" s="9" t="n">
        <f aca="false">Q69-$AB$4</f>
        <v>2.46155445254289</v>
      </c>
    </row>
    <row r="76" customFormat="false" ht="15.75" hidden="false" customHeight="false" outlineLevel="0" collapsed="false">
      <c r="A76" s="7" t="n">
        <v>45400</v>
      </c>
      <c r="B76" s="8" t="n">
        <v>2928.15</v>
      </c>
      <c r="C76" s="9" t="n">
        <v>3862</v>
      </c>
      <c r="D76" s="9" t="n">
        <v>2024.95</v>
      </c>
      <c r="E76" s="8" t="n">
        <v>2462.55</v>
      </c>
      <c r="F76" s="9" t="n">
        <v>1265.75</v>
      </c>
      <c r="G76" s="11" t="n">
        <v>1608.25</v>
      </c>
      <c r="H76" s="12" t="n">
        <v>0.494797858</v>
      </c>
      <c r="I76" s="12"/>
      <c r="J76" s="12"/>
      <c r="K76" s="8" t="n">
        <f aca="false">((B76-B75)/B75)*100</f>
        <v>-0.214690998313133</v>
      </c>
      <c r="L76" s="8" t="n">
        <f aca="false">((C76-C75)/C75)*100</f>
        <v>-0.278868002478831</v>
      </c>
      <c r="M76" s="8" t="n">
        <f aca="false">((D76-D75)/D75)*100</f>
        <v>-0.312607689656866</v>
      </c>
      <c r="N76" s="8" t="n">
        <f aca="false">((E76-E75)/E75)*100</f>
        <v>-3.28148933663249</v>
      </c>
      <c r="O76" s="8" t="n">
        <f aca="false">((F76-F75)/F75)*100</f>
        <v>4.05277652184635</v>
      </c>
      <c r="P76" s="8" t="n">
        <f aca="false">((G76-G75)/G75)*100</f>
        <v>1.04611711485298</v>
      </c>
      <c r="Q76" s="8" t="n">
        <f aca="false">((H76-H75)/H75)*100</f>
        <v>-0.534304769210974</v>
      </c>
      <c r="S76" s="9"/>
      <c r="V76" s="9" t="n">
        <f aca="false">K70-$V$4</f>
        <v>1.76369402413201</v>
      </c>
      <c r="W76" s="9" t="n">
        <f aca="false">L70-$W$4</f>
        <v>-0.205992737959038</v>
      </c>
      <c r="X76" s="9" t="n">
        <f aca="false">M70-$X$4</f>
        <v>2.96982272458729</v>
      </c>
      <c r="Y76" s="9" t="n">
        <f aca="false">N70-$Y$4</f>
        <v>-1.474002612267</v>
      </c>
      <c r="Z76" s="9" t="n">
        <f aca="false">O70-$Z$4</f>
        <v>0.958272040940199</v>
      </c>
      <c r="AA76" s="9" t="n">
        <f aca="false">P70-$AA$4</f>
        <v>2.93344777212543</v>
      </c>
      <c r="AB76" s="9" t="n">
        <f aca="false">Q70-$AB$4</f>
        <v>-0.475679036680818</v>
      </c>
    </row>
    <row r="77" customFormat="false" ht="15.75" hidden="false" customHeight="false" outlineLevel="0" collapsed="false">
      <c r="A77" s="7" t="n">
        <v>45401</v>
      </c>
      <c r="B77" s="8" t="n">
        <v>2941.6</v>
      </c>
      <c r="C77" s="9" t="n">
        <v>3826.2</v>
      </c>
      <c r="D77" s="9" t="n">
        <v>2082.9</v>
      </c>
      <c r="E77" s="8" t="n">
        <v>2437.7</v>
      </c>
      <c r="F77" s="9" t="n">
        <v>1289</v>
      </c>
      <c r="G77" s="11" t="n">
        <v>1603.75</v>
      </c>
      <c r="H77" s="12" t="n">
        <v>0.502630196</v>
      </c>
      <c r="I77" s="12"/>
      <c r="J77" s="12"/>
      <c r="K77" s="8" t="n">
        <f aca="false">((B77-B76)/B76)*100</f>
        <v>0.45933439202226</v>
      </c>
      <c r="L77" s="8" t="n">
        <f aca="false">((C77-C76)/C76)*100</f>
        <v>-0.926980838943557</v>
      </c>
      <c r="M77" s="8" t="n">
        <f aca="false">((D77-D76)/D76)*100</f>
        <v>2.86179905676684</v>
      </c>
      <c r="N77" s="8" t="n">
        <f aca="false">((E77-E76)/E76)*100</f>
        <v>-1.00911656616111</v>
      </c>
      <c r="O77" s="8" t="n">
        <f aca="false">((F77-F76)/F76)*100</f>
        <v>1.8368556191981</v>
      </c>
      <c r="P77" s="8" t="n">
        <f aca="false">((G77-G76)/G76)*100</f>
        <v>-0.279807243898648</v>
      </c>
      <c r="Q77" s="8" t="n">
        <f aca="false">((H77-H76)/H76)*100</f>
        <v>1.58293692532518</v>
      </c>
      <c r="S77" s="9"/>
      <c r="V77" s="9" t="n">
        <f aca="false">K71-$V$4</f>
        <v>-1.46224054803141</v>
      </c>
      <c r="W77" s="9" t="n">
        <f aca="false">L71-$W$4</f>
        <v>-0.692110748312412</v>
      </c>
      <c r="X77" s="9" t="n">
        <f aca="false">M71-$X$4</f>
        <v>0.367173649726805</v>
      </c>
      <c r="Y77" s="9" t="n">
        <f aca="false">N71-$Y$4</f>
        <v>0.276644590184544</v>
      </c>
      <c r="Z77" s="9" t="n">
        <f aca="false">O71-$Z$4</f>
        <v>-0.212773884210089</v>
      </c>
      <c r="AA77" s="9" t="n">
        <f aca="false">P71-$AA$4</f>
        <v>-2.16836170054497</v>
      </c>
      <c r="AB77" s="9" t="n">
        <f aca="false">Q71-$AB$4</f>
        <v>2.83072796217261</v>
      </c>
    </row>
    <row r="78" customFormat="false" ht="15.75" hidden="false" customHeight="false" outlineLevel="0" collapsed="false">
      <c r="A78" s="7" t="n">
        <v>45404</v>
      </c>
      <c r="B78" s="8" t="n">
        <v>2960.6</v>
      </c>
      <c r="C78" s="9" t="n">
        <v>3864.6</v>
      </c>
      <c r="D78" s="9" t="n">
        <v>2090.65</v>
      </c>
      <c r="E78" s="8" t="n">
        <v>2458.7</v>
      </c>
      <c r="F78" s="9" t="n">
        <v>1297.55</v>
      </c>
      <c r="G78" s="11" t="n">
        <v>1608.75</v>
      </c>
      <c r="H78" s="12" t="n">
        <v>0.524269371</v>
      </c>
      <c r="I78" s="12"/>
      <c r="J78" s="12"/>
      <c r="K78" s="8" t="n">
        <f aca="false">((B78-B77)/B77)*100</f>
        <v>0.645906989393527</v>
      </c>
      <c r="L78" s="8" t="n">
        <f aca="false">((C78-C77)/C77)*100</f>
        <v>1.00360671161989</v>
      </c>
      <c r="M78" s="8" t="n">
        <f aca="false">((D78-D77)/D77)*100</f>
        <v>0.372077392097556</v>
      </c>
      <c r="N78" s="8" t="n">
        <f aca="false">((E78-E77)/E77)*100</f>
        <v>0.861467777002913</v>
      </c>
      <c r="O78" s="8" t="n">
        <f aca="false">((F78-F77)/F77)*100</f>
        <v>0.663304887509694</v>
      </c>
      <c r="P78" s="8" t="n">
        <f aca="false">((G78-G77)/G77)*100</f>
        <v>0.311769290724864</v>
      </c>
      <c r="Q78" s="8" t="n">
        <f aca="false">((H78-H77)/H77)*100</f>
        <v>4.30518802336341</v>
      </c>
      <c r="S78" s="9"/>
      <c r="V78" s="9" t="n">
        <f aca="false">K72-$V$4</f>
        <v>1.0915268720366</v>
      </c>
      <c r="W78" s="9" t="n">
        <f aca="false">L72-$W$4</f>
        <v>0.927780858879555</v>
      </c>
      <c r="X78" s="9" t="n">
        <f aca="false">M72-$X$4</f>
        <v>-0.951820144774055</v>
      </c>
      <c r="Y78" s="9" t="n">
        <f aca="false">N72-$Y$4</f>
        <v>1.07738647747097</v>
      </c>
      <c r="Z78" s="9" t="n">
        <f aca="false">O72-$Z$4</f>
        <v>1.87946308036826</v>
      </c>
      <c r="AA78" s="9" t="n">
        <f aca="false">P72-$AA$4</f>
        <v>2.21361943472563</v>
      </c>
      <c r="AB78" s="9" t="n">
        <f aca="false">Q72-$AB$4</f>
        <v>-0.979726835515999</v>
      </c>
    </row>
    <row r="79" customFormat="false" ht="15.75" hidden="false" customHeight="false" outlineLevel="0" collapsed="false">
      <c r="A79" s="7" t="n">
        <v>45405</v>
      </c>
      <c r="B79" s="8" t="n">
        <v>2918.5</v>
      </c>
      <c r="C79" s="9" t="n">
        <v>3874.7</v>
      </c>
      <c r="D79" s="9" t="n">
        <v>2062.6</v>
      </c>
      <c r="E79" s="8" t="n">
        <v>2501.25</v>
      </c>
      <c r="F79" s="9" t="n">
        <v>1342.35</v>
      </c>
      <c r="G79" s="11" t="n">
        <v>1606.65</v>
      </c>
      <c r="H79" s="12" t="n">
        <v>0.55608036</v>
      </c>
      <c r="I79" s="12"/>
      <c r="J79" s="12"/>
      <c r="K79" s="8" t="n">
        <f aca="false">((B79-B78)/B78)*100</f>
        <v>-1.42200905221914</v>
      </c>
      <c r="L79" s="8" t="n">
        <f aca="false">((C79-C78)/C78)*100</f>
        <v>0.261346581793715</v>
      </c>
      <c r="M79" s="8" t="n">
        <f aca="false">((D79-D78)/D78)*100</f>
        <v>-1.3416879917729</v>
      </c>
      <c r="N79" s="8" t="n">
        <f aca="false">((E79-E78)/E78)*100</f>
        <v>1.73058933582788</v>
      </c>
      <c r="O79" s="8" t="n">
        <f aca="false">((F79-F78)/F78)*100</f>
        <v>3.45266078378482</v>
      </c>
      <c r="P79" s="8" t="n">
        <f aca="false">((G79-G78)/G78)*100</f>
        <v>-0.130536130536125</v>
      </c>
      <c r="Q79" s="8" t="n">
        <f aca="false">((H79-H78)/H78)*100</f>
        <v>6.06768023455637</v>
      </c>
      <c r="S79" s="9"/>
      <c r="V79" s="9" t="n">
        <f aca="false">K73-$V$4</f>
        <v>-0.778918182842944</v>
      </c>
      <c r="W79" s="9" t="n">
        <f aca="false">L73-$W$4</f>
        <v>0.382743842809885</v>
      </c>
      <c r="X79" s="9" t="n">
        <f aca="false">M73-$X$4</f>
        <v>-0.501639422331252</v>
      </c>
      <c r="Y79" s="9" t="n">
        <f aca="false">N73-$Y$4</f>
        <v>0.426739983946003</v>
      </c>
      <c r="Z79" s="9" t="n">
        <f aca="false">O73-$Z$4</f>
        <v>-0.505182721248494</v>
      </c>
      <c r="AA79" s="9" t="n">
        <f aca="false">P73-$AA$4</f>
        <v>-2.12743218460982</v>
      </c>
      <c r="AB79" s="9" t="n">
        <f aca="false">Q73-$AB$4</f>
        <v>-1.46799469102193</v>
      </c>
    </row>
    <row r="80" customFormat="false" ht="15.75" hidden="false" customHeight="false" outlineLevel="0" collapsed="false">
      <c r="A80" s="7" t="n">
        <v>45406</v>
      </c>
      <c r="B80" s="8" t="n">
        <v>2900.6</v>
      </c>
      <c r="C80" s="9" t="n">
        <v>3831.05</v>
      </c>
      <c r="D80" s="9" t="n">
        <v>2058.45</v>
      </c>
      <c r="E80" s="8" t="n">
        <v>2500.15</v>
      </c>
      <c r="F80" s="9" t="n">
        <v>1336.4</v>
      </c>
      <c r="G80" s="11" t="n">
        <v>1625.25</v>
      </c>
      <c r="H80" s="12" t="n">
        <v>0.545339529</v>
      </c>
      <c r="I80" s="12"/>
      <c r="J80" s="12"/>
      <c r="K80" s="8" t="n">
        <f aca="false">((B80-B79)/B79)*100</f>
        <v>-0.613328764776429</v>
      </c>
      <c r="L80" s="8" t="n">
        <f aca="false">((C80-C79)/C79)*100</f>
        <v>-1.12653882881254</v>
      </c>
      <c r="M80" s="8" t="n">
        <f aca="false">((D80-D79)/D79)*100</f>
        <v>-0.201202365945898</v>
      </c>
      <c r="N80" s="8" t="n">
        <f aca="false">((E80-E79)/E79)*100</f>
        <v>-0.0439780109944991</v>
      </c>
      <c r="O80" s="8" t="n">
        <f aca="false">((F80-F79)/F79)*100</f>
        <v>-0.443252504935361</v>
      </c>
      <c r="P80" s="8" t="n">
        <f aca="false">((G80-G79)/G79)*100</f>
        <v>1.15768835776304</v>
      </c>
      <c r="Q80" s="8" t="n">
        <f aca="false">((H80-H79)/H79)*100</f>
        <v>-1.93152496880127</v>
      </c>
      <c r="S80" s="9"/>
      <c r="V80" s="9" t="n">
        <f aca="false">K74-$V$4</f>
        <v>-0.0595784407802218</v>
      </c>
      <c r="W80" s="9" t="n">
        <f aca="false">L74-$W$4</f>
        <v>-1.54209273505154</v>
      </c>
      <c r="X80" s="9" t="n">
        <f aca="false">M74-$X$4</f>
        <v>-1.09379642540513</v>
      </c>
      <c r="Y80" s="9" t="n">
        <f aca="false">N74-$Y$4</f>
        <v>0.77453349553767</v>
      </c>
      <c r="Z80" s="9" t="n">
        <f aca="false">O74-$Z$4</f>
        <v>-0.273617847871014</v>
      </c>
      <c r="AA80" s="9" t="n">
        <f aca="false">P74-$AA$4</f>
        <v>2.87151417156774</v>
      </c>
      <c r="AB80" s="9" t="n">
        <f aca="false">Q74-$AB$4</f>
        <v>-17.7135779276851</v>
      </c>
    </row>
    <row r="81" customFormat="false" ht="15.75" hidden="false" customHeight="false" outlineLevel="0" collapsed="false">
      <c r="A81" s="7" t="n">
        <v>45407</v>
      </c>
      <c r="B81" s="8" t="n">
        <v>2918.4</v>
      </c>
      <c r="C81" s="9" t="n">
        <v>3852.2</v>
      </c>
      <c r="D81" s="9" t="n">
        <v>2096.85</v>
      </c>
      <c r="E81" s="8" t="n">
        <v>2562.65</v>
      </c>
      <c r="F81" s="9" t="n">
        <v>1338.7</v>
      </c>
      <c r="G81" s="11" t="n">
        <v>1619</v>
      </c>
      <c r="H81" s="12" t="n">
        <v>0.527146376</v>
      </c>
      <c r="I81" s="12"/>
      <c r="J81" s="12"/>
      <c r="K81" s="8" t="n">
        <f aca="false">((B81-B80)/B80)*100</f>
        <v>0.613666138040412</v>
      </c>
      <c r="L81" s="8" t="n">
        <f aca="false">((C81-C80)/C80)*100</f>
        <v>0.5520679709218</v>
      </c>
      <c r="M81" s="8" t="n">
        <f aca="false">((D81-D80)/D80)*100</f>
        <v>1.86548130875174</v>
      </c>
      <c r="N81" s="8" t="n">
        <f aca="false">((E81-E80)/E80)*100</f>
        <v>2.49985000899946</v>
      </c>
      <c r="O81" s="8" t="n">
        <f aca="false">((F81-F80)/F80)*100</f>
        <v>0.172104160431005</v>
      </c>
      <c r="P81" s="8" t="n">
        <f aca="false">((G81-G80)/G80)*100</f>
        <v>-0.384556222119674</v>
      </c>
      <c r="Q81" s="8" t="n">
        <f aca="false">((H81-H80)/H80)*100</f>
        <v>-3.33611484818663</v>
      </c>
      <c r="S81" s="9"/>
      <c r="V81" s="9" t="n">
        <f aca="false">K75-$V$4</f>
        <v>0.0682251322414086</v>
      </c>
      <c r="W81" s="9" t="n">
        <f aca="false">L75-$W$4</f>
        <v>-1.7731313275474</v>
      </c>
      <c r="X81" s="9" t="n">
        <f aca="false">M75-$X$4</f>
        <v>-1.32744608781389</v>
      </c>
      <c r="Y81" s="9" t="n">
        <f aca="false">N75-$Y$4</f>
        <v>-0.20915896408177</v>
      </c>
      <c r="Z81" s="9" t="n">
        <f aca="false">O75-$Z$4</f>
        <v>-0.853489307605696</v>
      </c>
      <c r="AA81" s="9" t="n">
        <f aca="false">P75-$AA$4</f>
        <v>1.82655747011859</v>
      </c>
      <c r="AB81" s="9" t="n">
        <f aca="false">Q75-$AB$4</f>
        <v>-2.2003551054091</v>
      </c>
    </row>
    <row r="82" customFormat="false" ht="15.75" hidden="false" customHeight="false" outlineLevel="0" collapsed="false">
      <c r="A82" s="7" t="n">
        <v>45408</v>
      </c>
      <c r="B82" s="8" t="n">
        <v>2903</v>
      </c>
      <c r="C82" s="9" t="n">
        <v>3821.35</v>
      </c>
      <c r="D82" s="9" t="n">
        <v>2044.9</v>
      </c>
      <c r="E82" s="8" t="n">
        <v>2482.75</v>
      </c>
      <c r="F82" s="9" t="n">
        <v>1326</v>
      </c>
      <c r="G82" s="11" t="n">
        <v>1612.65</v>
      </c>
      <c r="H82" s="12" t="n">
        <v>0.525427811</v>
      </c>
      <c r="I82" s="12"/>
      <c r="J82" s="12"/>
      <c r="K82" s="8" t="n">
        <f aca="false">((B82-B81)/B81)*100</f>
        <v>-0.527686403508775</v>
      </c>
      <c r="L82" s="8" t="n">
        <f aca="false">((C82-C81)/C81)*100</f>
        <v>-0.800841077825656</v>
      </c>
      <c r="M82" s="8" t="n">
        <f aca="false">((D82-D81)/D81)*100</f>
        <v>-2.47752581252831</v>
      </c>
      <c r="N82" s="8" t="n">
        <f aca="false">((E82-E81)/E81)*100</f>
        <v>-3.11786627124266</v>
      </c>
      <c r="O82" s="8" t="n">
        <f aca="false">((F82-F81)/F81)*100</f>
        <v>-0.948681556734148</v>
      </c>
      <c r="P82" s="8" t="n">
        <f aca="false">((G82-G81)/G81)*100</f>
        <v>-0.392217418159352</v>
      </c>
      <c r="Q82" s="8" t="n">
        <f aca="false">((H82-H81)/H81)*100</f>
        <v>-0.3260128644041</v>
      </c>
      <c r="S82" s="9"/>
      <c r="V82" s="9" t="n">
        <f aca="false">K76-$V$4</f>
        <v>-0.199314582359348</v>
      </c>
      <c r="W82" s="9" t="n">
        <f aca="false">L76-$W$4</f>
        <v>-0.316487303232371</v>
      </c>
      <c r="X82" s="9" t="n">
        <f aca="false">M76-$X$4</f>
        <v>-0.561381299445973</v>
      </c>
      <c r="Y82" s="9" t="n">
        <f aca="false">N76-$Y$4</f>
        <v>-3.19499306213418</v>
      </c>
      <c r="Z82" s="9" t="n">
        <f aca="false">O76-$Z$4</f>
        <v>3.86075469208965</v>
      </c>
      <c r="AA82" s="9" t="n">
        <f aca="false">P76-$AA$4</f>
        <v>1.0656576022102</v>
      </c>
      <c r="AB82" s="9" t="n">
        <f aca="false">Q76-$AB$4</f>
        <v>-1.21356248561412</v>
      </c>
    </row>
    <row r="83" customFormat="false" ht="15.75" hidden="false" customHeight="false" outlineLevel="0" collapsed="false">
      <c r="A83" s="7" t="n">
        <v>45411</v>
      </c>
      <c r="B83" s="8" t="n">
        <v>2930.5</v>
      </c>
      <c r="C83" s="9" t="n">
        <v>3870.2</v>
      </c>
      <c r="D83" s="9" t="n">
        <v>2062.05</v>
      </c>
      <c r="E83" s="8" t="n">
        <v>2509.8</v>
      </c>
      <c r="F83" s="9" t="n">
        <v>1332.45</v>
      </c>
      <c r="G83" s="11" t="n">
        <v>1591.25</v>
      </c>
      <c r="H83" s="12" t="n">
        <v>0.510010494</v>
      </c>
      <c r="I83" s="12"/>
      <c r="J83" s="12"/>
      <c r="K83" s="8" t="n">
        <f aca="false">((B83-B82)/B82)*100</f>
        <v>0.947295900792284</v>
      </c>
      <c r="L83" s="8" t="n">
        <f aca="false">((C83-C82)/C82)*100</f>
        <v>1.27834404071859</v>
      </c>
      <c r="M83" s="8" t="n">
        <f aca="false">((D83-D82)/D82)*100</f>
        <v>0.838671817692801</v>
      </c>
      <c r="N83" s="8" t="n">
        <f aca="false">((E83-E82)/E82)*100</f>
        <v>1.08951767193637</v>
      </c>
      <c r="O83" s="8" t="n">
        <f aca="false">((F83-F82)/F82)*100</f>
        <v>0.486425339366519</v>
      </c>
      <c r="P83" s="8" t="n">
        <f aca="false">((G83-G82)/G82)*100</f>
        <v>-1.32700834030943</v>
      </c>
      <c r="Q83" s="8" t="n">
        <f aca="false">((H83-H82)/H82)*100</f>
        <v>-2.93424076100152</v>
      </c>
      <c r="S83" s="9"/>
      <c r="V83" s="9" t="n">
        <f aca="false">K77-$V$4</f>
        <v>0.474710807976045</v>
      </c>
      <c r="W83" s="9" t="n">
        <f aca="false">L77-$W$4</f>
        <v>-0.964600139697097</v>
      </c>
      <c r="X83" s="9" t="n">
        <f aca="false">M77-$X$4</f>
        <v>2.61302544697773</v>
      </c>
      <c r="Y83" s="9" t="n">
        <f aca="false">N77-$Y$4</f>
        <v>-0.922620291662799</v>
      </c>
      <c r="Z83" s="9" t="n">
        <f aca="false">O77-$Z$4</f>
        <v>1.64483378944141</v>
      </c>
      <c r="AA83" s="9" t="n">
        <f aca="false">P77-$AA$4</f>
        <v>-0.260266756541431</v>
      </c>
      <c r="AB83" s="9" t="n">
        <f aca="false">Q77-$AB$4</f>
        <v>0.903679208922031</v>
      </c>
    </row>
    <row r="84" customFormat="false" ht="15.75" hidden="false" customHeight="false" outlineLevel="0" collapsed="false">
      <c r="A84" s="7" t="n">
        <v>45412</v>
      </c>
      <c r="B84" s="8" t="n">
        <v>2931.15</v>
      </c>
      <c r="C84" s="9" t="n">
        <v>3820.65</v>
      </c>
      <c r="D84" s="9" t="n">
        <v>2156.35</v>
      </c>
      <c r="E84" s="8" t="n">
        <v>2507.4</v>
      </c>
      <c r="F84" s="9" t="n">
        <v>1322.3</v>
      </c>
      <c r="G84" s="11" t="n">
        <v>1588.35</v>
      </c>
      <c r="H84" s="12" t="n">
        <v>0.514870915</v>
      </c>
      <c r="I84" s="12"/>
      <c r="J84" s="12"/>
      <c r="K84" s="8" t="n">
        <f aca="false">((B84-B83)/B83)*100</f>
        <v>0.0221805152704348</v>
      </c>
      <c r="L84" s="8" t="n">
        <f aca="false">((C84-C83)/C83)*100</f>
        <v>-1.28029559195907</v>
      </c>
      <c r="M84" s="8" t="n">
        <f aca="false">((D84-D83)/D83)*100</f>
        <v>4.57311898353579</v>
      </c>
      <c r="N84" s="8" t="n">
        <f aca="false">((E84-E83)/E83)*100</f>
        <v>-0.0956251494142996</v>
      </c>
      <c r="O84" s="8" t="n">
        <f aca="false">((F84-F83)/F83)*100</f>
        <v>-0.761754662463889</v>
      </c>
      <c r="P84" s="8" t="n">
        <f aca="false">((G84-G83)/G83)*100</f>
        <v>-0.182246661429699</v>
      </c>
      <c r="Q84" s="8" t="n">
        <f aca="false">((H84-H83)/H83)*100</f>
        <v>0.953004116029044</v>
      </c>
      <c r="S84" s="9"/>
      <c r="V84" s="9" t="n">
        <f aca="false">K78-$V$4</f>
        <v>0.661283405347312</v>
      </c>
      <c r="W84" s="9" t="n">
        <f aca="false">L78-$W$4</f>
        <v>0.965987410866347</v>
      </c>
      <c r="X84" s="9" t="n">
        <f aca="false">M78-$X$4</f>
        <v>0.123303782308449</v>
      </c>
      <c r="Y84" s="9" t="n">
        <f aca="false">N78-$Y$4</f>
        <v>0.947964051501221</v>
      </c>
      <c r="Z84" s="9" t="n">
        <f aca="false">O78-$Z$4</f>
        <v>0.471283057752996</v>
      </c>
      <c r="AA84" s="9" t="n">
        <f aca="false">P78-$AA$4</f>
        <v>0.33130977808208</v>
      </c>
      <c r="AB84" s="9" t="n">
        <f aca="false">Q78-$AB$4</f>
        <v>3.62593030696026</v>
      </c>
    </row>
    <row r="85" customFormat="false" ht="15.75" hidden="false" customHeight="false" outlineLevel="0" collapsed="false">
      <c r="A85" s="7" t="n">
        <v>45414</v>
      </c>
      <c r="B85" s="8" t="n">
        <v>2932.1</v>
      </c>
      <c r="C85" s="9" t="n">
        <v>3863.3</v>
      </c>
      <c r="D85" s="9" t="n">
        <v>2185.15</v>
      </c>
      <c r="E85" s="8" t="n">
        <v>2512.3</v>
      </c>
      <c r="F85" s="9" t="n">
        <v>1304.05</v>
      </c>
      <c r="G85" s="11" t="n">
        <v>1604.35</v>
      </c>
      <c r="H85" s="12" t="n">
        <v>0.516016493</v>
      </c>
      <c r="I85" s="12"/>
      <c r="J85" s="12"/>
      <c r="K85" s="8" t="n">
        <f aca="false">((B85-B84)/B84)*100</f>
        <v>0.0324104873513746</v>
      </c>
      <c r="L85" s="8" t="n">
        <f aca="false">((C85-C84)/C84)*100</f>
        <v>1.11630219988746</v>
      </c>
      <c r="M85" s="8" t="n">
        <f aca="false">((D85-D84)/D84)*100</f>
        <v>1.33559023349643</v>
      </c>
      <c r="N85" s="8" t="n">
        <f aca="false">((E85-E84)/E84)*100</f>
        <v>0.195421552205475</v>
      </c>
      <c r="O85" s="8" t="n">
        <f aca="false">((F85-F84)/F84)*100</f>
        <v>-1.38017091431596</v>
      </c>
      <c r="P85" s="8" t="n">
        <f aca="false">((G85-G84)/G84)*100</f>
        <v>1.00733465546007</v>
      </c>
      <c r="Q85" s="8" t="n">
        <f aca="false">((H85-H84)/H84)*100</f>
        <v>0.222498099353685</v>
      </c>
      <c r="S85" s="9"/>
      <c r="V85" s="9" t="n">
        <f aca="false">K79-$V$4</f>
        <v>-1.40663263626536</v>
      </c>
      <c r="W85" s="9" t="n">
        <f aca="false">L79-$W$4</f>
        <v>0.223727281040176</v>
      </c>
      <c r="X85" s="9" t="n">
        <f aca="false">M79-$X$4</f>
        <v>-1.59046160156201</v>
      </c>
      <c r="Y85" s="9" t="n">
        <f aca="false">N79-$Y$4</f>
        <v>1.81708561032619</v>
      </c>
      <c r="Z85" s="9" t="n">
        <f aca="false">O79-$Z$4</f>
        <v>3.26063895402812</v>
      </c>
      <c r="AA85" s="9" t="n">
        <f aca="false">P79-$AA$4</f>
        <v>-0.110995643178908</v>
      </c>
      <c r="AB85" s="9" t="n">
        <f aca="false">Q79-$AB$4</f>
        <v>5.38842251815322</v>
      </c>
    </row>
    <row r="86" customFormat="false" ht="15.75" hidden="false" customHeight="false" outlineLevel="0" collapsed="false">
      <c r="A86" s="7" t="n">
        <v>45415</v>
      </c>
      <c r="B86" s="8" t="n">
        <v>2868.5</v>
      </c>
      <c r="C86" s="9" t="n">
        <v>3843.4</v>
      </c>
      <c r="D86" s="9" t="n">
        <v>2193</v>
      </c>
      <c r="E86" s="8" t="n">
        <v>2456.1</v>
      </c>
      <c r="F86" s="9" t="n">
        <v>1277.4</v>
      </c>
      <c r="G86" s="11" t="n">
        <v>1620</v>
      </c>
      <c r="H86" s="12" t="n">
        <v>0.518377641</v>
      </c>
      <c r="I86" s="12"/>
      <c r="J86" s="12"/>
      <c r="K86" s="8" t="n">
        <f aca="false">((B86-B85)/B85)*100</f>
        <v>-2.16909382353944</v>
      </c>
      <c r="L86" s="8" t="n">
        <f aca="false">((C86-C85)/C85)*100</f>
        <v>-0.515103667848733</v>
      </c>
      <c r="M86" s="8" t="n">
        <f aca="false">((D86-D85)/D85)*100</f>
        <v>0.359243072557944</v>
      </c>
      <c r="N86" s="8" t="n">
        <f aca="false">((E86-E85)/E85)*100</f>
        <v>-2.23699398957132</v>
      </c>
      <c r="O86" s="8" t="n">
        <f aca="false">((F86-F85)/F85)*100</f>
        <v>-2.0436332962693</v>
      </c>
      <c r="P86" s="8" t="n">
        <f aca="false">((G86-G85)/G85)*100</f>
        <v>0.975472932963511</v>
      </c>
      <c r="Q86" s="8" t="n">
        <f aca="false">((H86-H85)/H85)*100</f>
        <v>0.457572196243731</v>
      </c>
      <c r="S86" s="9"/>
      <c r="V86" s="9" t="n">
        <f aca="false">K80-$V$4</f>
        <v>-0.597952348822645</v>
      </c>
      <c r="W86" s="9" t="n">
        <f aca="false">L80-$W$4</f>
        <v>-1.16415812956608</v>
      </c>
      <c r="X86" s="9" t="n">
        <f aca="false">M80-$X$4</f>
        <v>-0.449975975735005</v>
      </c>
      <c r="Y86" s="9" t="n">
        <f aca="false">N80-$Y$4</f>
        <v>0.0425182635038097</v>
      </c>
      <c r="Z86" s="9" t="n">
        <f aca="false">O80-$Z$4</f>
        <v>-0.635274334692059</v>
      </c>
      <c r="AA86" s="9" t="n">
        <f aca="false">P80-$AA$4</f>
        <v>1.17722884512026</v>
      </c>
      <c r="AB86" s="9" t="n">
        <f aca="false">Q80-$AB$4</f>
        <v>-2.61078268520442</v>
      </c>
    </row>
    <row r="87" customFormat="false" ht="15.75" hidden="false" customHeight="false" outlineLevel="0" collapsed="false">
      <c r="A87" s="7" t="n">
        <v>45418</v>
      </c>
      <c r="B87" s="8" t="n">
        <v>2839</v>
      </c>
      <c r="C87" s="9" t="n">
        <v>3921.05</v>
      </c>
      <c r="D87" s="9" t="n">
        <v>2224.95</v>
      </c>
      <c r="E87" s="8" t="n">
        <v>2457.4</v>
      </c>
      <c r="F87" s="9" t="n">
        <v>1283.4</v>
      </c>
      <c r="G87" s="11" t="n">
        <v>1597.65</v>
      </c>
      <c r="H87" s="12" t="n">
        <v>0.529497942</v>
      </c>
      <c r="I87" s="12"/>
      <c r="J87" s="12"/>
      <c r="K87" s="8" t="n">
        <f aca="false">((B87-B86)/B86)*100</f>
        <v>-1.02841206205334</v>
      </c>
      <c r="L87" s="8" t="n">
        <f aca="false">((C87-C86)/C86)*100</f>
        <v>2.02034656814279</v>
      </c>
      <c r="M87" s="8" t="n">
        <f aca="false">((D87-D86)/D86)*100</f>
        <v>1.45690834473323</v>
      </c>
      <c r="N87" s="8" t="n">
        <f aca="false">((E87-E86)/E86)*100</f>
        <v>0.0529294409836807</v>
      </c>
      <c r="O87" s="8" t="n">
        <f aca="false">((F87-F86)/F86)*100</f>
        <v>0.469704086425552</v>
      </c>
      <c r="P87" s="8" t="n">
        <f aca="false">((G87-G86)/G86)*100</f>
        <v>-1.37962962962962</v>
      </c>
      <c r="Q87" s="8" t="n">
        <f aca="false">((H87-H86)/H86)*100</f>
        <v>2.14521231636224</v>
      </c>
      <c r="S87" s="9"/>
      <c r="V87" s="9" t="n">
        <f aca="false">K81-$V$4</f>
        <v>0.629042553994196</v>
      </c>
      <c r="W87" s="9" t="n">
        <f aca="false">L81-$W$4</f>
        <v>0.514448670168261</v>
      </c>
      <c r="X87" s="9" t="n">
        <f aca="false">M81-$X$4</f>
        <v>1.61670769896263</v>
      </c>
      <c r="Y87" s="9" t="n">
        <f aca="false">N81-$Y$4</f>
        <v>2.58634628349777</v>
      </c>
      <c r="Z87" s="9" t="n">
        <f aca="false">O81-$Z$4</f>
        <v>-0.0199176693256926</v>
      </c>
      <c r="AA87" s="9" t="n">
        <f aca="false">P81-$AA$4</f>
        <v>-0.365015734762457</v>
      </c>
      <c r="AB87" s="9" t="n">
        <f aca="false">Q81-$AB$4</f>
        <v>-4.01537256458978</v>
      </c>
    </row>
    <row r="88" customFormat="false" ht="15.75" hidden="false" customHeight="false" outlineLevel="0" collapsed="false">
      <c r="A88" s="7" t="n">
        <v>45419</v>
      </c>
      <c r="B88" s="8" t="n">
        <v>2803.95</v>
      </c>
      <c r="C88" s="9" t="n">
        <v>3978.95</v>
      </c>
      <c r="D88" s="9" t="n">
        <v>2191.5</v>
      </c>
      <c r="E88" s="8" t="n">
        <v>2508.65</v>
      </c>
      <c r="F88" s="9" t="n">
        <v>1286.15</v>
      </c>
      <c r="G88" s="11" t="n">
        <v>1597.65</v>
      </c>
      <c r="H88" s="12" t="n">
        <v>0.540402369</v>
      </c>
      <c r="I88" s="12"/>
      <c r="J88" s="12"/>
      <c r="K88" s="8" t="n">
        <f aca="false">((B88-B87)/B87)*100</f>
        <v>-1.23458964424094</v>
      </c>
      <c r="L88" s="8" t="n">
        <f aca="false">((C88-C87)/C87)*100</f>
        <v>1.47664528633911</v>
      </c>
      <c r="M88" s="8" t="n">
        <f aca="false">((D88-D87)/D87)*100</f>
        <v>-1.50340457088923</v>
      </c>
      <c r="N88" s="8" t="n">
        <f aca="false">((E88-E87)/E87)*100</f>
        <v>2.08553756002279</v>
      </c>
      <c r="O88" s="8" t="n">
        <f aca="false">((F88-F87)/F87)*100</f>
        <v>0.214274583138538</v>
      </c>
      <c r="P88" s="8" t="n">
        <f aca="false">((G88-G87)/G87)*100</f>
        <v>0</v>
      </c>
      <c r="Q88" s="8" t="n">
        <f aca="false">((H88-H87)/H87)*100</f>
        <v>2.05938987388926</v>
      </c>
      <c r="S88" s="9"/>
      <c r="V88" s="9" t="n">
        <f aca="false">K82-$V$4</f>
        <v>-0.512309987554991</v>
      </c>
      <c r="W88" s="9" t="n">
        <f aca="false">L82-$W$4</f>
        <v>-0.838460378579195</v>
      </c>
      <c r="X88" s="9" t="n">
        <f aca="false">M82-$X$4</f>
        <v>-2.72629942231742</v>
      </c>
      <c r="Y88" s="9" t="n">
        <f aca="false">N82-$Y$4</f>
        <v>-3.03136999674435</v>
      </c>
      <c r="Z88" s="9" t="n">
        <f aca="false">O82-$Z$4</f>
        <v>-1.14070338649085</v>
      </c>
      <c r="AA88" s="9" t="n">
        <f aca="false">P82-$AA$4</f>
        <v>-0.372676930802135</v>
      </c>
      <c r="AB88" s="9" t="n">
        <f aca="false">Q82-$AB$4</f>
        <v>-1.00527058080725</v>
      </c>
    </row>
    <row r="89" customFormat="false" ht="15.75" hidden="false" customHeight="false" outlineLevel="0" collapsed="false">
      <c r="A89" s="7" t="n">
        <v>45420</v>
      </c>
      <c r="B89" s="8" t="n">
        <v>2836.95</v>
      </c>
      <c r="C89" s="9" t="n">
        <v>3976.95</v>
      </c>
      <c r="D89" s="9" t="n">
        <v>2182.4</v>
      </c>
      <c r="E89" s="8" t="n">
        <v>2539</v>
      </c>
      <c r="F89" s="9" t="n">
        <v>1288.6</v>
      </c>
      <c r="G89" s="11" t="n">
        <v>1608.5</v>
      </c>
      <c r="H89" s="12" t="n">
        <v>0.524688375</v>
      </c>
      <c r="I89" s="12"/>
      <c r="J89" s="12"/>
      <c r="K89" s="8" t="n">
        <f aca="false">((B89-B88)/B88)*100</f>
        <v>1.17691114320869</v>
      </c>
      <c r="L89" s="8" t="n">
        <f aca="false">((C89-C88)/C88)*100</f>
        <v>-0.0502645170208221</v>
      </c>
      <c r="M89" s="8" t="n">
        <f aca="false">((D89-D88)/D88)*100</f>
        <v>-0.415240702715031</v>
      </c>
      <c r="N89" s="8" t="n">
        <f aca="false">((E89-E88)/E88)*100</f>
        <v>1.2098140434098</v>
      </c>
      <c r="O89" s="8" t="n">
        <f aca="false">((F89-F88)/F88)*100</f>
        <v>0.190491000272116</v>
      </c>
      <c r="P89" s="8" t="n">
        <f aca="false">((G89-G88)/G88)*100</f>
        <v>0.679122461114757</v>
      </c>
      <c r="Q89" s="8" t="n">
        <f aca="false">((H89-H88)/H88)*100</f>
        <v>-2.90783218235671</v>
      </c>
      <c r="S89" s="9"/>
      <c r="V89" s="9" t="n">
        <f aca="false">K83-$V$4</f>
        <v>0.962672316746068</v>
      </c>
      <c r="W89" s="9" t="n">
        <f aca="false">L83-$W$4</f>
        <v>1.24072473996505</v>
      </c>
      <c r="X89" s="9" t="n">
        <f aca="false">M83-$X$4</f>
        <v>0.589898207903694</v>
      </c>
      <c r="Y89" s="9" t="n">
        <f aca="false">N83-$Y$4</f>
        <v>1.17601394643468</v>
      </c>
      <c r="Z89" s="9" t="n">
        <f aca="false">O83-$Z$4</f>
        <v>0.294403509609821</v>
      </c>
      <c r="AA89" s="9" t="n">
        <f aca="false">P83-$AA$4</f>
        <v>-1.30746785295222</v>
      </c>
      <c r="AB89" s="9" t="n">
        <f aca="false">Q83-$AB$4</f>
        <v>-3.61349847740467</v>
      </c>
    </row>
    <row r="90" customFormat="false" ht="15.75" hidden="false" customHeight="false" outlineLevel="0" collapsed="false">
      <c r="A90" s="7" t="n">
        <v>45421</v>
      </c>
      <c r="B90" s="8" t="n">
        <v>2786.8</v>
      </c>
      <c r="C90" s="9" t="n">
        <v>3960.2</v>
      </c>
      <c r="D90" s="9" t="n">
        <v>2212.55</v>
      </c>
      <c r="E90" s="8" t="n">
        <v>2513.45</v>
      </c>
      <c r="F90" s="9" t="n">
        <v>1275.45</v>
      </c>
      <c r="G90" s="11" t="n">
        <v>1611</v>
      </c>
      <c r="H90" s="12" t="n">
        <v>0.517824089</v>
      </c>
      <c r="I90" s="12"/>
      <c r="J90" s="12"/>
      <c r="K90" s="8" t="n">
        <f aca="false">((B90-B89)/B89)*100</f>
        <v>-1.76774352737974</v>
      </c>
      <c r="L90" s="8" t="n">
        <f aca="false">((C90-C89)/C89)*100</f>
        <v>-0.421177032650649</v>
      </c>
      <c r="M90" s="8" t="n">
        <f aca="false">((D90-D89)/D89)*100</f>
        <v>1.38150659824047</v>
      </c>
      <c r="N90" s="8" t="n">
        <f aca="false">((E90-E89)/E89)*100</f>
        <v>-1.00630169358016</v>
      </c>
      <c r="O90" s="8" t="n">
        <f aca="false">((F90-F89)/F89)*100</f>
        <v>-1.02048735061306</v>
      </c>
      <c r="P90" s="8" t="n">
        <f aca="false">((G90-G89)/G89)*100</f>
        <v>0.155424308361828</v>
      </c>
      <c r="Q90" s="8" t="n">
        <f aca="false">((H90-H89)/H89)*100</f>
        <v>-1.30825959313469</v>
      </c>
      <c r="S90" s="9"/>
      <c r="V90" s="9" t="n">
        <f aca="false">K84-$V$4</f>
        <v>0.0375569312242193</v>
      </c>
      <c r="W90" s="9" t="n">
        <f aca="false">L84-$W$4</f>
        <v>-1.3179148927126</v>
      </c>
      <c r="X90" s="9" t="n">
        <f aca="false">M84-$X$4</f>
        <v>4.32434537374668</v>
      </c>
      <c r="Y90" s="9" t="n">
        <f aca="false">N84-$Y$4</f>
        <v>-0.00912887491599078</v>
      </c>
      <c r="Z90" s="9" t="n">
        <f aca="false">O84-$Z$4</f>
        <v>-0.953776492220587</v>
      </c>
      <c r="AA90" s="9" t="n">
        <f aca="false">P84-$AA$4</f>
        <v>-0.162706174072483</v>
      </c>
      <c r="AB90" s="9" t="n">
        <f aca="false">Q84-$AB$4</f>
        <v>0.273746399625895</v>
      </c>
    </row>
    <row r="91" customFormat="false" ht="15.75" hidden="false" customHeight="false" outlineLevel="0" collapsed="false">
      <c r="A91" s="7" t="n">
        <v>45422</v>
      </c>
      <c r="B91" s="8" t="n">
        <v>2815.15</v>
      </c>
      <c r="C91" s="9" t="n">
        <v>3893.9</v>
      </c>
      <c r="D91" s="9" t="n">
        <v>2193.05</v>
      </c>
      <c r="E91" s="8" t="n">
        <v>2533.2</v>
      </c>
      <c r="F91" s="9" t="n">
        <v>1301.15</v>
      </c>
      <c r="G91" s="11" t="n">
        <v>1617.35</v>
      </c>
      <c r="H91" s="12" t="n">
        <v>0.521111843</v>
      </c>
      <c r="I91" s="12"/>
      <c r="J91" s="12"/>
      <c r="K91" s="8" t="n">
        <f aca="false">((B91-B90)/B90)*100</f>
        <v>1.01729582316635</v>
      </c>
      <c r="L91" s="8" t="n">
        <f aca="false">((C91-C90)/C90)*100</f>
        <v>-1.6741578708146</v>
      </c>
      <c r="M91" s="8" t="n">
        <f aca="false">((D91-D90)/D90)*100</f>
        <v>-0.88133601500531</v>
      </c>
      <c r="N91" s="8" t="n">
        <f aca="false">((E91-E90)/E90)*100</f>
        <v>0.785772543714814</v>
      </c>
      <c r="O91" s="8" t="n">
        <f aca="false">((F91-F90)/F90)*100</f>
        <v>2.01497510682505</v>
      </c>
      <c r="P91" s="8" t="n">
        <f aca="false">((G91-G90)/G90)*100</f>
        <v>0.3941651148355</v>
      </c>
      <c r="Q91" s="8" t="n">
        <f aca="false">((H91-H90)/H90)*100</f>
        <v>0.634917160062832</v>
      </c>
      <c r="S91" s="9"/>
      <c r="V91" s="9" t="n">
        <f aca="false">K85-$V$4</f>
        <v>0.0477869033051591</v>
      </c>
      <c r="W91" s="9" t="n">
        <f aca="false">L85-$W$4</f>
        <v>1.07868289913392</v>
      </c>
      <c r="X91" s="9" t="n">
        <f aca="false">M85-$X$4</f>
        <v>1.08681662370732</v>
      </c>
      <c r="Y91" s="9" t="n">
        <f aca="false">N85-$Y$4</f>
        <v>0.281917826703784</v>
      </c>
      <c r="Z91" s="9" t="n">
        <f aca="false">O85-$Z$4</f>
        <v>-1.57219274407266</v>
      </c>
      <c r="AA91" s="9" t="n">
        <f aca="false">P85-$AA$4</f>
        <v>1.02687514281729</v>
      </c>
      <c r="AB91" s="9" t="n">
        <f aca="false">Q85-$AB$4</f>
        <v>-0.456759617049464</v>
      </c>
    </row>
    <row r="92" customFormat="false" ht="15.75" hidden="false" customHeight="false" outlineLevel="0" collapsed="false">
      <c r="A92" s="7" t="n">
        <v>45425</v>
      </c>
      <c r="B92" s="8" t="n">
        <v>2805.3</v>
      </c>
      <c r="C92" s="9" t="n">
        <v>3947.8</v>
      </c>
      <c r="D92" s="9" t="n">
        <v>2184.25</v>
      </c>
      <c r="E92" s="8" t="n">
        <v>2516.25</v>
      </c>
      <c r="F92" s="9" t="n">
        <v>1285.95</v>
      </c>
      <c r="G92" s="11" t="n">
        <v>1628.35</v>
      </c>
      <c r="H92" s="12" t="n">
        <v>0.499639015</v>
      </c>
      <c r="I92" s="12"/>
      <c r="J92" s="12"/>
      <c r="K92" s="8" t="n">
        <f aca="false">((B92-B91)/B91)*100</f>
        <v>-0.34989254569028</v>
      </c>
      <c r="L92" s="8" t="n">
        <f aca="false">((C92-C91)/C91)*100</f>
        <v>1.38421633837541</v>
      </c>
      <c r="M92" s="8" t="n">
        <f aca="false">((D92-D91)/D91)*100</f>
        <v>-0.401267640956667</v>
      </c>
      <c r="N92" s="8" t="n">
        <f aca="false">((E92-E91)/E91)*100</f>
        <v>-0.669114163903356</v>
      </c>
      <c r="O92" s="8" t="n">
        <f aca="false">((F92-F91)/F91)*100</f>
        <v>-1.16819736387043</v>
      </c>
      <c r="P92" s="8" t="n">
        <f aca="false">((G92-G91)/G91)*100</f>
        <v>0.680124895662658</v>
      </c>
      <c r="Q92" s="8" t="n">
        <f aca="false">((H92-H91)/H91)*100</f>
        <v>-4.12057954322869</v>
      </c>
      <c r="S92" s="9"/>
      <c r="V92" s="9" t="n">
        <f aca="false">K86-$V$4</f>
        <v>-2.15371740758566</v>
      </c>
      <c r="W92" s="9" t="n">
        <f aca="false">L86-$W$4</f>
        <v>-0.552722968602272</v>
      </c>
      <c r="X92" s="9" t="n">
        <f aca="false">M86-$X$4</f>
        <v>0.110469462768837</v>
      </c>
      <c r="Y92" s="9" t="n">
        <f aca="false">N86-$Y$4</f>
        <v>-2.15049771507301</v>
      </c>
      <c r="Z92" s="9" t="n">
        <f aca="false">O86-$Z$4</f>
        <v>-2.235655126026</v>
      </c>
      <c r="AA92" s="9" t="n">
        <f aca="false">P86-$AA$4</f>
        <v>0.995013420320728</v>
      </c>
      <c r="AB92" s="9" t="n">
        <f aca="false">Q86-$AB$4</f>
        <v>-0.221685520159418</v>
      </c>
    </row>
    <row r="93" customFormat="false" ht="15.75" hidden="false" customHeight="false" outlineLevel="0" collapsed="false">
      <c r="A93" s="7" t="n">
        <v>45426</v>
      </c>
      <c r="B93" s="8" t="n">
        <v>2839.8</v>
      </c>
      <c r="C93" s="9" t="n">
        <v>3901.2</v>
      </c>
      <c r="D93" s="9" t="n">
        <v>2269.9</v>
      </c>
      <c r="E93" s="8" t="n">
        <v>2487.35</v>
      </c>
      <c r="F93" s="9" t="n">
        <v>1284.3</v>
      </c>
      <c r="G93" s="11" t="n">
        <v>1654</v>
      </c>
      <c r="H93" s="12" t="n">
        <v>0.504534406</v>
      </c>
      <c r="I93" s="12"/>
      <c r="J93" s="12"/>
      <c r="K93" s="8" t="n">
        <f aca="false">((B93-B92)/B92)*100</f>
        <v>1.22981499304887</v>
      </c>
      <c r="L93" s="8" t="n">
        <f aca="false">((C93-C92)/C92)*100</f>
        <v>-1.18040427579919</v>
      </c>
      <c r="M93" s="8" t="n">
        <f aca="false">((D93-D92)/D92)*100</f>
        <v>3.92125443516081</v>
      </c>
      <c r="N93" s="8" t="n">
        <f aca="false">((E93-E92)/E92)*100</f>
        <v>-1.14853452558371</v>
      </c>
      <c r="O93" s="8" t="n">
        <f aca="false">((F93-F92)/F92)*100</f>
        <v>-0.128309809868198</v>
      </c>
      <c r="P93" s="8" t="n">
        <f aca="false">((G93-G92)/G92)*100</f>
        <v>1.57521417385698</v>
      </c>
      <c r="Q93" s="8" t="n">
        <f aca="false">((H93-H92)/H92)*100</f>
        <v>0.979785575792149</v>
      </c>
      <c r="S93" s="9"/>
      <c r="V93" s="9" t="n">
        <f aca="false">K87-$V$4</f>
        <v>-1.01303564609955</v>
      </c>
      <c r="W93" s="9" t="n">
        <f aca="false">L87-$W$4</f>
        <v>1.98272726738925</v>
      </c>
      <c r="X93" s="9" t="n">
        <f aca="false">M87-$X$4</f>
        <v>1.20813473494413</v>
      </c>
      <c r="Y93" s="9" t="n">
        <f aca="false">N87-$Y$4</f>
        <v>0.13942571548199</v>
      </c>
      <c r="Z93" s="9" t="n">
        <f aca="false">O87-$Z$4</f>
        <v>0.277682256668854</v>
      </c>
      <c r="AA93" s="9" t="n">
        <f aca="false">P87-$AA$4</f>
        <v>-1.36008914227241</v>
      </c>
      <c r="AB93" s="9" t="n">
        <f aca="false">Q87-$AB$4</f>
        <v>1.46595459995909</v>
      </c>
    </row>
    <row r="94" customFormat="false" ht="15.75" hidden="false" customHeight="false" outlineLevel="0" collapsed="false">
      <c r="A94" s="7" t="n">
        <v>45427</v>
      </c>
      <c r="B94" s="8" t="n">
        <v>2831.15</v>
      </c>
      <c r="C94" s="9" t="n">
        <v>3880.4</v>
      </c>
      <c r="D94" s="9" t="n">
        <v>2302.3</v>
      </c>
      <c r="E94" s="8" t="n">
        <v>2465</v>
      </c>
      <c r="F94" s="9" t="n">
        <v>1309.9</v>
      </c>
      <c r="G94" s="11" t="n">
        <v>1723.5</v>
      </c>
      <c r="H94" s="12" t="n">
        <v>0.499702672</v>
      </c>
      <c r="I94" s="12"/>
      <c r="J94" s="12"/>
      <c r="K94" s="8" t="n">
        <f aca="false">((B94-B93)/B93)*100</f>
        <v>-0.304598915416582</v>
      </c>
      <c r="L94" s="8" t="n">
        <f aca="false">((C94-C93)/C93)*100</f>
        <v>-0.533169281246789</v>
      </c>
      <c r="M94" s="8" t="n">
        <f aca="false">((D94-D93)/D93)*100</f>
        <v>1.42737565531522</v>
      </c>
      <c r="N94" s="8" t="n">
        <f aca="false">((E94-E93)/E93)*100</f>
        <v>-0.898546646028903</v>
      </c>
      <c r="O94" s="8" t="n">
        <f aca="false">((F94-F93)/F93)*100</f>
        <v>1.99330374523088</v>
      </c>
      <c r="P94" s="8" t="n">
        <f aca="false">((G94-G93)/G93)*100</f>
        <v>4.20193470374849</v>
      </c>
      <c r="Q94" s="8" t="n">
        <f aca="false">((H94-H93)/H93)*100</f>
        <v>-0.95766194387147</v>
      </c>
      <c r="S94" s="9"/>
      <c r="V94" s="9" t="n">
        <f aca="false">K88-$V$4</f>
        <v>-1.21921322828715</v>
      </c>
      <c r="W94" s="9" t="n">
        <f aca="false">L88-$W$4</f>
        <v>1.43902598558557</v>
      </c>
      <c r="X94" s="9" t="n">
        <f aca="false">M88-$X$4</f>
        <v>-1.75217818067833</v>
      </c>
      <c r="Y94" s="9" t="n">
        <f aca="false">N88-$Y$4</f>
        <v>2.1720338345211</v>
      </c>
      <c r="Z94" s="9" t="n">
        <f aca="false">O88-$Z$4</f>
        <v>0.0222527533818404</v>
      </c>
      <c r="AA94" s="9" t="n">
        <f aca="false">P88-$AA$4</f>
        <v>0.0195404873572167</v>
      </c>
      <c r="AB94" s="9" t="n">
        <f aca="false">Q88-$AB$4</f>
        <v>1.38013215748612</v>
      </c>
    </row>
    <row r="95" customFormat="false" ht="15.75" hidden="false" customHeight="false" outlineLevel="0" collapsed="false">
      <c r="A95" s="7" t="n">
        <v>45428</v>
      </c>
      <c r="B95" s="8" t="n">
        <v>2850.2</v>
      </c>
      <c r="C95" s="9" t="n">
        <v>3900.95</v>
      </c>
      <c r="D95" s="9" t="n">
        <v>2371.75</v>
      </c>
      <c r="E95" s="8" t="n">
        <v>2468.35</v>
      </c>
      <c r="F95" s="9" t="n">
        <v>1345.1</v>
      </c>
      <c r="G95" s="11" t="n">
        <v>1790.6</v>
      </c>
      <c r="H95" s="12" t="n">
        <v>0.51859415</v>
      </c>
      <c r="I95" s="12"/>
      <c r="J95" s="12"/>
      <c r="K95" s="8" t="n">
        <f aca="false">((B95-B94)/B94)*100</f>
        <v>0.672871447998154</v>
      </c>
      <c r="L95" s="8" t="n">
        <f aca="false">((C95-C94)/C94)*100</f>
        <v>0.529584578909384</v>
      </c>
      <c r="M95" s="8" t="n">
        <f aca="false">((D95-D94)/D94)*100</f>
        <v>3.01654866872257</v>
      </c>
      <c r="N95" s="8" t="n">
        <f aca="false">((E95-E94)/E94)*100</f>
        <v>0.135902636916832</v>
      </c>
      <c r="O95" s="8" t="n">
        <f aca="false">((F95-F94)/F94)*100</f>
        <v>2.68722803267424</v>
      </c>
      <c r="P95" s="8" t="n">
        <f aca="false">((G95-G94)/G94)*100</f>
        <v>3.89324049898462</v>
      </c>
      <c r="Q95" s="8" t="n">
        <f aca="false">((H95-H94)/H94)*100</f>
        <v>3.78054372300814</v>
      </c>
      <c r="S95" s="9"/>
      <c r="V95" s="9" t="n">
        <f aca="false">K89-$V$4</f>
        <v>1.19228755916247</v>
      </c>
      <c r="W95" s="9" t="n">
        <f aca="false">L89-$W$4</f>
        <v>-0.0878838177743616</v>
      </c>
      <c r="X95" s="9" t="n">
        <f aca="false">M89-$X$4</f>
        <v>-0.664014312504138</v>
      </c>
      <c r="Y95" s="9" t="n">
        <f aca="false">N89-$Y$4</f>
        <v>1.29631031790811</v>
      </c>
      <c r="Z95" s="9" t="n">
        <f aca="false">O89-$Z$4</f>
        <v>-0.00153082948458205</v>
      </c>
      <c r="AA95" s="9" t="n">
        <f aca="false">P89-$AA$4</f>
        <v>0.698662948471973</v>
      </c>
      <c r="AB95" s="9" t="n">
        <f aca="false">Q89-$AB$4</f>
        <v>-3.58708989875986</v>
      </c>
    </row>
    <row r="96" customFormat="false" ht="15.75" hidden="false" customHeight="false" outlineLevel="0" collapsed="false">
      <c r="A96" s="7" t="n">
        <v>45429</v>
      </c>
      <c r="B96" s="8" t="n">
        <v>2870.7</v>
      </c>
      <c r="C96" s="9" t="n">
        <v>3834.1</v>
      </c>
      <c r="D96" s="9" t="n">
        <v>2514.6</v>
      </c>
      <c r="E96" s="8" t="n">
        <v>2445.5</v>
      </c>
      <c r="F96" s="9" t="n">
        <v>1344.45</v>
      </c>
      <c r="G96" s="11" t="n">
        <v>1754</v>
      </c>
      <c r="H96" s="12" t="n">
        <v>0.515796241</v>
      </c>
      <c r="I96" s="12"/>
      <c r="J96" s="12"/>
      <c r="K96" s="8" t="n">
        <f aca="false">((B96-B95)/B95)*100</f>
        <v>0.719247772086169</v>
      </c>
      <c r="L96" s="8" t="n">
        <f aca="false">((C96-C95)/C95)*100</f>
        <v>-1.71368512798164</v>
      </c>
      <c r="M96" s="8" t="n">
        <f aca="false">((D96-D95)/D95)*100</f>
        <v>6.02297881311268</v>
      </c>
      <c r="N96" s="8" t="n">
        <f aca="false">((E96-E95)/E95)*100</f>
        <v>-0.925719610265964</v>
      </c>
      <c r="O96" s="8" t="n">
        <f aca="false">((F96-F95)/F95)*100</f>
        <v>-0.0483235447178547</v>
      </c>
      <c r="P96" s="8" t="n">
        <f aca="false">((G96-G95)/G95)*100</f>
        <v>-2.04400759521947</v>
      </c>
      <c r="Q96" s="8" t="n">
        <f aca="false">((H96-H95)/H95)*100</f>
        <v>-0.53951804122742</v>
      </c>
      <c r="S96" s="9"/>
      <c r="V96" s="9" t="n">
        <f aca="false">K90-$V$4</f>
        <v>-1.75236711142596</v>
      </c>
      <c r="W96" s="9" t="n">
        <f aca="false">L90-$W$4</f>
        <v>-0.458796333404189</v>
      </c>
      <c r="X96" s="9" t="n">
        <f aca="false">M90-$X$4</f>
        <v>1.13273298845137</v>
      </c>
      <c r="Y96" s="9" t="n">
        <f aca="false">N90-$Y$4</f>
        <v>-0.919805419081848</v>
      </c>
      <c r="Z96" s="9" t="n">
        <f aca="false">O90-$Z$4</f>
        <v>-1.21250918036976</v>
      </c>
      <c r="AA96" s="9" t="n">
        <f aca="false">P90-$AA$4</f>
        <v>0.174964795719045</v>
      </c>
      <c r="AB96" s="9" t="n">
        <f aca="false">Q90-$AB$4</f>
        <v>-1.98751730953784</v>
      </c>
    </row>
    <row r="97" customFormat="false" ht="15.75" hidden="false" customHeight="false" outlineLevel="0" collapsed="false">
      <c r="A97" s="7" t="n">
        <v>45430</v>
      </c>
      <c r="B97" s="8" t="n">
        <v>2869.05</v>
      </c>
      <c r="C97" s="9" t="n">
        <v>3851.45</v>
      </c>
      <c r="D97" s="9" t="n">
        <v>2503.7</v>
      </c>
      <c r="E97" s="8" t="n">
        <v>2504.4</v>
      </c>
      <c r="F97" s="9" t="n">
        <v>1347.75</v>
      </c>
      <c r="G97" s="21" t="n">
        <v>1728.65</v>
      </c>
      <c r="H97" s="12" t="n">
        <v>0.524203183</v>
      </c>
      <c r="I97" s="12"/>
      <c r="J97" s="12"/>
      <c r="K97" s="8" t="n">
        <f aca="false">((B97-B96)/B96)*100</f>
        <v>-0.0574772703521662</v>
      </c>
      <c r="L97" s="8" t="n">
        <f aca="false">((C97-C96)/C96)*100</f>
        <v>0.452518192013769</v>
      </c>
      <c r="M97" s="8" t="n">
        <f aca="false">((D97-D96)/D96)*100</f>
        <v>-0.433468543704768</v>
      </c>
      <c r="N97" s="8" t="n">
        <f aca="false">((E97-E96)/E96)*100</f>
        <v>2.40850541811491</v>
      </c>
      <c r="O97" s="8" t="n">
        <f aca="false">((F97-F96)/F96)*100</f>
        <v>0.245453531183752</v>
      </c>
      <c r="P97" s="8" t="n">
        <f aca="false">((G97-G96)/G96)*100</f>
        <v>-1.44526795895096</v>
      </c>
      <c r="Q97" s="8" t="n">
        <f aca="false">((H97-H96)/H96)*100</f>
        <v>1.62989594179691</v>
      </c>
      <c r="S97" s="9"/>
      <c r="V97" s="9" t="n">
        <f aca="false">K91-$V$4</f>
        <v>1.03267223912014</v>
      </c>
      <c r="W97" s="9" t="n">
        <f aca="false">L91-$W$4</f>
        <v>-1.71177717156814</v>
      </c>
      <c r="X97" s="9" t="n">
        <f aca="false">M91-$X$4</f>
        <v>-1.13010962479442</v>
      </c>
      <c r="Y97" s="9" t="n">
        <f aca="false">N91-$Y$4</f>
        <v>0.872268818213123</v>
      </c>
      <c r="Z97" s="9" t="n">
        <f aca="false">O91-$Z$4</f>
        <v>1.82295327706835</v>
      </c>
      <c r="AA97" s="9" t="n">
        <f aca="false">P91-$AA$4</f>
        <v>0.413705602192717</v>
      </c>
      <c r="AB97" s="9" t="n">
        <f aca="false">Q91-$AB$4</f>
        <v>-0.0443405563403168</v>
      </c>
    </row>
    <row r="98" customFormat="false" ht="15.75" hidden="false" customHeight="false" outlineLevel="0" collapsed="false">
      <c r="A98" s="7" t="n">
        <v>45433</v>
      </c>
      <c r="B98" s="8" t="n">
        <v>2871.3</v>
      </c>
      <c r="C98" s="9" t="n">
        <v>3820.2</v>
      </c>
      <c r="D98" s="9" t="n">
        <v>2522.65</v>
      </c>
      <c r="E98" s="8" t="n">
        <v>2460.8</v>
      </c>
      <c r="F98" s="9" t="n">
        <v>1344.3</v>
      </c>
      <c r="G98" s="22" t="n">
        <v>1715.5</v>
      </c>
      <c r="H98" s="12" t="n">
        <v>0.537264812</v>
      </c>
      <c r="I98" s="12"/>
      <c r="J98" s="12"/>
      <c r="K98" s="8" t="n">
        <f aca="false">((B98-B97)/B97)*100</f>
        <v>0.0784231714330528</v>
      </c>
      <c r="L98" s="8" t="n">
        <f aca="false">((C98-C97)/C97)*100</f>
        <v>-0.811382725986317</v>
      </c>
      <c r="M98" s="8" t="n">
        <f aca="false">((D98-D97)/D97)*100</f>
        <v>0.756879817869564</v>
      </c>
      <c r="N98" s="8" t="n">
        <f aca="false">((E98-E97)/E97)*100</f>
        <v>-1.7409359527232</v>
      </c>
      <c r="O98" s="8" t="n">
        <f aca="false">((F98-F97)/F97)*100</f>
        <v>-0.255982192543131</v>
      </c>
      <c r="P98" s="8" t="n">
        <f aca="false">((G98-G97)/G97)*100</f>
        <v>-0.7607092239609</v>
      </c>
      <c r="Q98" s="8" t="n">
        <f aca="false">((H98-H97)/H97)*100</f>
        <v>2.49171111957936</v>
      </c>
      <c r="S98" s="9"/>
      <c r="V98" s="9" t="n">
        <f aca="false">K92-$V$4</f>
        <v>-0.334516129736495</v>
      </c>
      <c r="W98" s="9" t="n">
        <f aca="false">L92-$W$4</f>
        <v>1.34659703762187</v>
      </c>
      <c r="X98" s="9" t="n">
        <f aca="false">M92-$X$4</f>
        <v>-0.650041250745774</v>
      </c>
      <c r="Y98" s="9" t="n">
        <f aca="false">N92-$Y$4</f>
        <v>-0.582617889405047</v>
      </c>
      <c r="Z98" s="9" t="n">
        <f aca="false">O92-$Z$4</f>
        <v>-1.36021919362712</v>
      </c>
      <c r="AA98" s="9" t="n">
        <f aca="false">P92-$AA$4</f>
        <v>0.699665383019875</v>
      </c>
      <c r="AB98" s="9" t="n">
        <f aca="false">Q92-$AB$4</f>
        <v>-4.79983725963184</v>
      </c>
    </row>
    <row r="99" customFormat="false" ht="15.75" hidden="false" customHeight="false" outlineLevel="0" collapsed="false">
      <c r="A99" s="7" t="n">
        <v>45434</v>
      </c>
      <c r="B99" s="8" t="n">
        <v>2920.75</v>
      </c>
      <c r="C99" s="9" t="n">
        <v>3832</v>
      </c>
      <c r="D99" s="9" t="n">
        <v>2521.05</v>
      </c>
      <c r="E99" s="8" t="n">
        <v>2469.15</v>
      </c>
      <c r="F99" s="9" t="n">
        <v>1347.9</v>
      </c>
      <c r="G99" s="11" t="n">
        <v>1708.25</v>
      </c>
      <c r="H99" s="12" t="n">
        <v>0.53700221</v>
      </c>
      <c r="I99" s="12"/>
      <c r="J99" s="12"/>
      <c r="K99" s="8" t="n">
        <f aca="false">((B99-B98)/B98)*100</f>
        <v>1.72221641765054</v>
      </c>
      <c r="L99" s="8" t="n">
        <f aca="false">((C99-C98)/C98)*100</f>
        <v>0.308884351604633</v>
      </c>
      <c r="M99" s="8" t="n">
        <f aca="false">((D99-D98)/D98)*100</f>
        <v>-0.063425366182384</v>
      </c>
      <c r="N99" s="8" t="n">
        <f aca="false">((E99-E98)/E98)*100</f>
        <v>0.339320546163845</v>
      </c>
      <c r="O99" s="8" t="n">
        <f aca="false">((F99-F98)/F98)*100</f>
        <v>0.267797366659238</v>
      </c>
      <c r="P99" s="8" t="n">
        <f aca="false">((G99-G98)/G98)*100</f>
        <v>-0.422617312736811</v>
      </c>
      <c r="Q99" s="8" t="n">
        <f aca="false">((H99-H98)/H98)*100</f>
        <v>-0.0488775728718197</v>
      </c>
      <c r="S99" s="9"/>
      <c r="V99" s="9" t="n">
        <f aca="false">K93-$V$4</f>
        <v>1.24519140900266</v>
      </c>
      <c r="W99" s="9" t="n">
        <f aca="false">L93-$W$4</f>
        <v>-1.21802357655273</v>
      </c>
      <c r="X99" s="9" t="n">
        <f aca="false">M93-$X$4</f>
        <v>3.67248082537171</v>
      </c>
      <c r="Y99" s="9" t="n">
        <f aca="false">N93-$Y$4</f>
        <v>-1.0620382510854</v>
      </c>
      <c r="Z99" s="9" t="n">
        <f aca="false">O93-$Z$4</f>
        <v>-0.320331639624896</v>
      </c>
      <c r="AA99" s="9" t="n">
        <f aca="false">P93-$AA$4</f>
        <v>1.59475466121419</v>
      </c>
      <c r="AB99" s="9" t="n">
        <f aca="false">Q93-$AB$4</f>
        <v>0.300527859389</v>
      </c>
    </row>
    <row r="100" customFormat="false" ht="15.75" hidden="false" customHeight="false" outlineLevel="0" collapsed="false">
      <c r="A100" s="7" t="n">
        <v>45435</v>
      </c>
      <c r="B100" s="8" t="n">
        <v>2973.2</v>
      </c>
      <c r="C100" s="9" t="n">
        <v>3893.45</v>
      </c>
      <c r="D100" s="9" t="n">
        <v>2609.2</v>
      </c>
      <c r="E100" s="8" t="n">
        <v>2474.15</v>
      </c>
      <c r="F100" s="9" t="n">
        <v>1374.05</v>
      </c>
      <c r="G100" s="11" t="n">
        <v>1707.65</v>
      </c>
      <c r="H100" s="12" t="n">
        <v>0.526543821</v>
      </c>
      <c r="I100" s="12"/>
      <c r="J100" s="12"/>
      <c r="K100" s="8" t="n">
        <f aca="false">((B100-B99)/B99)*100</f>
        <v>1.79577163399811</v>
      </c>
      <c r="L100" s="8" t="n">
        <f aca="false">((C100-C99)/C99)*100</f>
        <v>1.6036012526096</v>
      </c>
      <c r="M100" s="8" t="n">
        <f aca="false">((D100-D99)/D99)*100</f>
        <v>3.49655897344359</v>
      </c>
      <c r="N100" s="8" t="n">
        <f aca="false">((E100-E99)/E99)*100</f>
        <v>0.202498835631695</v>
      </c>
      <c r="O100" s="8" t="n">
        <f aca="false">((F100-F99)/F99)*100</f>
        <v>1.94005490021514</v>
      </c>
      <c r="P100" s="8" t="n">
        <f aca="false">((G100-G99)/G99)*100</f>
        <v>-0.035123664568998</v>
      </c>
      <c r="Q100" s="8" t="n">
        <f aca="false">((H100-H99)/H99)*100</f>
        <v>-1.94755045793947</v>
      </c>
      <c r="S100" s="9"/>
      <c r="V100" s="9" t="n">
        <f aca="false">K94-$V$4</f>
        <v>-0.289222499462797</v>
      </c>
      <c r="W100" s="9" t="n">
        <f aca="false">L94-$W$4</f>
        <v>-0.570788582000328</v>
      </c>
      <c r="X100" s="9" t="n">
        <f aca="false">M94-$X$4</f>
        <v>1.17860204552611</v>
      </c>
      <c r="Y100" s="9" t="n">
        <f aca="false">N94-$Y$4</f>
        <v>-0.812050371530594</v>
      </c>
      <c r="Z100" s="9" t="n">
        <f aca="false">O94-$Z$4</f>
        <v>1.80128191547418</v>
      </c>
      <c r="AA100" s="9" t="n">
        <f aca="false">P94-$AA$4</f>
        <v>4.22147519110571</v>
      </c>
      <c r="AB100" s="9" t="n">
        <f aca="false">Q94-$AB$4</f>
        <v>-1.63691966027462</v>
      </c>
    </row>
    <row r="101" customFormat="false" ht="15.75" hidden="false" customHeight="false" outlineLevel="0" collapsed="false">
      <c r="A101" s="7" t="n">
        <v>45436</v>
      </c>
      <c r="B101" s="8" t="n">
        <v>2959.8</v>
      </c>
      <c r="C101" s="9" t="n">
        <v>3849.5</v>
      </c>
      <c r="D101" s="9" t="n">
        <v>2579.75</v>
      </c>
      <c r="E101" s="8" t="n">
        <v>2467.75</v>
      </c>
      <c r="F101" s="9" t="n">
        <v>1388.5</v>
      </c>
      <c r="G101" s="11" t="n">
        <v>1714.35</v>
      </c>
      <c r="H101" s="12" t="n">
        <v>0.529068823</v>
      </c>
      <c r="I101" s="12"/>
      <c r="J101" s="12"/>
      <c r="K101" s="8" t="n">
        <f aca="false">((B101-B100)/B100)*100</f>
        <v>-0.450692856181879</v>
      </c>
      <c r="L101" s="8" t="n">
        <f aca="false">((C101-C100)/C100)*100</f>
        <v>-1.12881891381679</v>
      </c>
      <c r="M101" s="8" t="n">
        <f aca="false">((D101-D100)/D100)*100</f>
        <v>-1.12869845163268</v>
      </c>
      <c r="N101" s="8" t="n">
        <f aca="false">((E101-E100)/E100)*100</f>
        <v>-0.25867469636037</v>
      </c>
      <c r="O101" s="8" t="n">
        <f aca="false">((F101-F100)/F100)*100</f>
        <v>1.05163567555766</v>
      </c>
      <c r="P101" s="8" t="n">
        <f aca="false">((G101-G100)/G100)*100</f>
        <v>0.392352062776319</v>
      </c>
      <c r="Q101" s="8" t="n">
        <f aca="false">((H101-H100)/H100)*100</f>
        <v>0.479542613415276</v>
      </c>
      <c r="S101" s="9"/>
      <c r="V101" s="9" t="n">
        <f aca="false">K95-$V$4</f>
        <v>0.688247863951938</v>
      </c>
      <c r="W101" s="9" t="n">
        <f aca="false">L95-$W$4</f>
        <v>0.491965278155844</v>
      </c>
      <c r="X101" s="9" t="n">
        <f aca="false">M95-$X$4</f>
        <v>2.76777505893347</v>
      </c>
      <c r="Y101" s="9" t="n">
        <f aca="false">N95-$Y$4</f>
        <v>0.222398911415141</v>
      </c>
      <c r="Z101" s="9" t="n">
        <f aca="false">O95-$Z$4</f>
        <v>2.49520620291754</v>
      </c>
      <c r="AA101" s="9" t="n">
        <f aca="false">P95-$AA$4</f>
        <v>3.91278098634184</v>
      </c>
      <c r="AB101" s="9" t="n">
        <f aca="false">Q95-$AB$4</f>
        <v>3.10128600660499</v>
      </c>
    </row>
    <row r="102" customFormat="false" ht="15.75" hidden="false" customHeight="false" outlineLevel="0" collapsed="false">
      <c r="A102" s="7" t="n">
        <v>45439</v>
      </c>
      <c r="B102" s="8" t="n">
        <v>2932.45</v>
      </c>
      <c r="C102" s="9" t="n">
        <v>3847.05</v>
      </c>
      <c r="D102" s="9" t="n">
        <v>2549.1</v>
      </c>
      <c r="E102" s="8" t="n">
        <v>2459.9</v>
      </c>
      <c r="F102" s="9" t="n">
        <v>1384.35</v>
      </c>
      <c r="G102" s="11" t="n">
        <v>1715</v>
      </c>
      <c r="H102" s="12" t="n">
        <v>0.528232396</v>
      </c>
      <c r="I102" s="12"/>
      <c r="J102" s="12"/>
      <c r="K102" s="8" t="n">
        <f aca="false">((B102-B101)/B101)*100</f>
        <v>-0.924048922224487</v>
      </c>
      <c r="L102" s="8" t="n">
        <f aca="false">((C102-C101)/C101)*100</f>
        <v>-0.0636446291726151</v>
      </c>
      <c r="M102" s="8" t="n">
        <f aca="false">((D102-D101)/D101)*100</f>
        <v>-1.1880996220564</v>
      </c>
      <c r="N102" s="8" t="n">
        <f aca="false">((E102-E101)/E101)*100</f>
        <v>-0.318103535609357</v>
      </c>
      <c r="O102" s="8" t="n">
        <f aca="false">((F102-F101)/F101)*100</f>
        <v>-0.298883687432488</v>
      </c>
      <c r="P102" s="8" t="n">
        <f aca="false">((G102-G101)/G101)*100</f>
        <v>0.0379152448449903</v>
      </c>
      <c r="Q102" s="8" t="n">
        <f aca="false">((H102-H101)/H101)*100</f>
        <v>-0.158094176719231</v>
      </c>
      <c r="S102" s="9"/>
      <c r="V102" s="9" t="n">
        <f aca="false">K96-$V$4</f>
        <v>0.734624188039954</v>
      </c>
      <c r="W102" s="9" t="n">
        <f aca="false">L96-$W$4</f>
        <v>-1.75130442873518</v>
      </c>
      <c r="X102" s="9" t="n">
        <f aca="false">M96-$X$4</f>
        <v>5.77420520332357</v>
      </c>
      <c r="Y102" s="9" t="n">
        <f aca="false">N96-$Y$4</f>
        <v>-0.839223335767655</v>
      </c>
      <c r="Z102" s="9" t="n">
        <f aca="false">O96-$Z$4</f>
        <v>-0.240345374474553</v>
      </c>
      <c r="AA102" s="9" t="n">
        <f aca="false">P96-$AA$4</f>
        <v>-2.02446710786226</v>
      </c>
      <c r="AB102" s="9" t="n">
        <f aca="false">Q96-$AB$4</f>
        <v>-1.21877575763057</v>
      </c>
    </row>
    <row r="103" customFormat="false" ht="15.75" hidden="false" customHeight="false" outlineLevel="0" collapsed="false">
      <c r="A103" s="7" t="n">
        <v>45440</v>
      </c>
      <c r="B103" s="8" t="n">
        <v>2911.25</v>
      </c>
      <c r="C103" s="9" t="n">
        <v>3839.9</v>
      </c>
      <c r="D103" s="9" t="n">
        <v>2552.8</v>
      </c>
      <c r="E103" s="8" t="n">
        <v>2451.7</v>
      </c>
      <c r="F103" s="9" t="n">
        <v>1371.05</v>
      </c>
      <c r="G103" s="11" t="n">
        <v>1722.65</v>
      </c>
      <c r="H103" s="12" t="n">
        <v>0.533995657</v>
      </c>
      <c r="I103" s="12"/>
      <c r="J103" s="12"/>
      <c r="K103" s="8" t="n">
        <f aca="false">((B103-B102)/B102)*100</f>
        <v>-0.722944977748975</v>
      </c>
      <c r="L103" s="8" t="n">
        <f aca="false">((C103-C102)/C102)*100</f>
        <v>-0.185856695389976</v>
      </c>
      <c r="M103" s="8" t="n">
        <f aca="false">((D103-D102)/D102)*100</f>
        <v>0.145149268369239</v>
      </c>
      <c r="N103" s="8" t="n">
        <f aca="false">((E103-E102)/E102)*100</f>
        <v>-0.333346884019687</v>
      </c>
      <c r="O103" s="8" t="n">
        <f aca="false">((F103-F102)/F102)*100</f>
        <v>-0.960739697330874</v>
      </c>
      <c r="P103" s="8" t="n">
        <f aca="false">((G103-G102)/G102)*100</f>
        <v>0.446064139941696</v>
      </c>
      <c r="Q103" s="8" t="n">
        <f aca="false">((H103-H102)/H102)*100</f>
        <v>1.09104648704657</v>
      </c>
      <c r="S103" s="9"/>
      <c r="V103" s="9" t="n">
        <f aca="false">K97-$V$4</f>
        <v>-0.0421008543983818</v>
      </c>
      <c r="W103" s="9" t="n">
        <f aca="false">L97-$W$4</f>
        <v>0.414898891260229</v>
      </c>
      <c r="X103" s="9" t="n">
        <f aca="false">M97-$X$4</f>
        <v>-0.682242153493875</v>
      </c>
      <c r="Y103" s="9" t="n">
        <f aca="false">N97-$Y$4</f>
        <v>2.49500169261322</v>
      </c>
      <c r="Z103" s="9" t="n">
        <f aca="false">O97-$Z$4</f>
        <v>0.0534317014270541</v>
      </c>
      <c r="AA103" s="9" t="n">
        <f aca="false">P97-$AA$4</f>
        <v>-1.42572747159375</v>
      </c>
      <c r="AB103" s="9" t="n">
        <f aca="false">Q97-$AB$4</f>
        <v>0.950638225393765</v>
      </c>
    </row>
    <row r="104" customFormat="false" ht="15.75" hidden="false" customHeight="false" outlineLevel="0" collapsed="false">
      <c r="A104" s="7" t="n">
        <v>45441</v>
      </c>
      <c r="B104" s="8" t="n">
        <v>2881.45</v>
      </c>
      <c r="C104" s="9" t="n">
        <v>3803.65</v>
      </c>
      <c r="D104" s="9" t="n">
        <v>2533.65</v>
      </c>
      <c r="E104" s="8" t="n">
        <v>2476.2</v>
      </c>
      <c r="F104" s="9" t="n">
        <v>1377.1</v>
      </c>
      <c r="G104" s="11" t="n">
        <v>1710</v>
      </c>
      <c r="H104" s="12" t="n">
        <v>0.528089927</v>
      </c>
      <c r="I104" s="12"/>
      <c r="J104" s="12"/>
      <c r="K104" s="8" t="n">
        <f aca="false">((B104-B103)/B103)*100</f>
        <v>-1.02361528553028</v>
      </c>
      <c r="L104" s="8" t="n">
        <f aca="false">((C104-C103)/C103)*100</f>
        <v>-0.944035000911482</v>
      </c>
      <c r="M104" s="8" t="n">
        <f aca="false">((D104-D103)/D103)*100</f>
        <v>-0.750156690692576</v>
      </c>
      <c r="N104" s="8" t="n">
        <f aca="false">((E104-E103)/E103)*100</f>
        <v>0.999306603581189</v>
      </c>
      <c r="O104" s="8" t="n">
        <f aca="false">((F104-F103)/F103)*100</f>
        <v>0.44126764158856</v>
      </c>
      <c r="P104" s="8" t="n">
        <f aca="false">((G104-G103)/G103)*100</f>
        <v>-0.734333730009003</v>
      </c>
      <c r="Q104" s="8" t="n">
        <f aca="false">((H104-H103)/H103)*100</f>
        <v>-1.10595094221898</v>
      </c>
      <c r="S104" s="9"/>
      <c r="V104" s="9" t="n">
        <f aca="false">K98-$V$4</f>
        <v>0.0937995873868372</v>
      </c>
      <c r="W104" s="9" t="n">
        <f aca="false">L98-$W$4</f>
        <v>-0.849002026739856</v>
      </c>
      <c r="X104" s="9" t="n">
        <f aca="false">M98-$X$4</f>
        <v>0.508106208080457</v>
      </c>
      <c r="Y104" s="9" t="n">
        <f aca="false">N98-$Y$4</f>
        <v>-1.65443967822489</v>
      </c>
      <c r="Z104" s="9" t="n">
        <f aca="false">O98-$Z$4</f>
        <v>-0.448004022299829</v>
      </c>
      <c r="AA104" s="9" t="n">
        <f aca="false">P98-$AA$4</f>
        <v>-0.741168736603683</v>
      </c>
      <c r="AB104" s="9" t="n">
        <f aca="false">Q98-$AB$4</f>
        <v>1.81245340317622</v>
      </c>
    </row>
    <row r="105" customFormat="false" ht="15.75" hidden="false" customHeight="false" outlineLevel="0" collapsed="false">
      <c r="A105" s="7" t="n">
        <v>45442</v>
      </c>
      <c r="B105" s="8" t="n">
        <v>2850</v>
      </c>
      <c r="C105" s="9" t="n">
        <v>3736.1</v>
      </c>
      <c r="D105" s="9" t="n">
        <v>2493.5</v>
      </c>
      <c r="E105" s="8" t="n">
        <v>2404.8</v>
      </c>
      <c r="F105" s="9" t="n">
        <v>1377.15</v>
      </c>
      <c r="G105" s="11" t="n">
        <v>1701.65</v>
      </c>
      <c r="H105" s="12" t="n">
        <v>0.523022603</v>
      </c>
      <c r="I105" s="12"/>
      <c r="J105" s="12"/>
      <c r="K105" s="8" t="n">
        <f aca="false">((B105-B104)/B104)*100</f>
        <v>-1.0914643668986</v>
      </c>
      <c r="L105" s="8" t="n">
        <f aca="false">((C105-C104)/C104)*100</f>
        <v>-1.7759257555243</v>
      </c>
      <c r="M105" s="8" t="n">
        <f aca="false">((D105-D104)/D104)*100</f>
        <v>-1.58467033726048</v>
      </c>
      <c r="N105" s="8" t="n">
        <f aca="false">((E105-E104)/E104)*100</f>
        <v>-2.88345044826749</v>
      </c>
      <c r="O105" s="8" t="n">
        <f aca="false">((F105-F104)/F104)*100</f>
        <v>0.00363081838647752</v>
      </c>
      <c r="P105" s="8" t="n">
        <f aca="false">((G105-G104)/G104)*100</f>
        <v>-0.488304093567246</v>
      </c>
      <c r="Q105" s="8" t="n">
        <f aca="false">((H105-H104)/H104)*100</f>
        <v>-0.959557026354715</v>
      </c>
      <c r="S105" s="9"/>
      <c r="V105" s="9" t="n">
        <f aca="false">K99-$V$4</f>
        <v>1.73759283360432</v>
      </c>
      <c r="W105" s="9" t="n">
        <f aca="false">L99-$W$4</f>
        <v>0.271265050851093</v>
      </c>
      <c r="X105" s="9" t="n">
        <f aca="false">M99-$X$4</f>
        <v>-0.312198975971491</v>
      </c>
      <c r="Y105" s="9" t="n">
        <f aca="false">N99-$Y$4</f>
        <v>0.425816820662154</v>
      </c>
      <c r="Z105" s="9" t="n">
        <f aca="false">O99-$Z$4</f>
        <v>0.0757755369025401</v>
      </c>
      <c r="AA105" s="9" t="n">
        <f aca="false">P99-$AA$4</f>
        <v>-0.403076825379595</v>
      </c>
      <c r="AB105" s="9" t="n">
        <f aca="false">Q99-$AB$4</f>
        <v>-0.728135289274969</v>
      </c>
    </row>
    <row r="106" customFormat="false" ht="15.75" hidden="false" customHeight="false" outlineLevel="0" collapsed="false">
      <c r="A106" s="7" t="n">
        <v>45443</v>
      </c>
      <c r="B106" s="8" t="n">
        <v>2859.6</v>
      </c>
      <c r="C106" s="9" t="n">
        <v>3670.95</v>
      </c>
      <c r="D106" s="9" t="n">
        <v>2506.25</v>
      </c>
      <c r="E106" s="8" t="n">
        <v>2354.9</v>
      </c>
      <c r="F106" s="9" t="n">
        <v>1372.75</v>
      </c>
      <c r="G106" s="11" t="n">
        <v>1656.65</v>
      </c>
      <c r="H106" s="12" t="n">
        <v>0.51892801</v>
      </c>
      <c r="I106" s="12"/>
      <c r="J106" s="12"/>
      <c r="K106" s="8" t="n">
        <f aca="false">((B106-B105)/B105)*100</f>
        <v>0.336842105263155</v>
      </c>
      <c r="L106" s="8" t="n">
        <f aca="false">((C106-C105)/C105)*100</f>
        <v>-1.74379700757475</v>
      </c>
      <c r="M106" s="8" t="n">
        <f aca="false">((D106-D105)/D105)*100</f>
        <v>0.511329456587127</v>
      </c>
      <c r="N106" s="8" t="n">
        <f aca="false">((E106-E105)/E105)*100</f>
        <v>-2.07501663339987</v>
      </c>
      <c r="O106" s="8" t="n">
        <f aca="false">((F106-F105)/F105)*100</f>
        <v>-0.319500417528961</v>
      </c>
      <c r="P106" s="8" t="n">
        <f aca="false">((G106-G105)/G105)*100</f>
        <v>-2.64449211059854</v>
      </c>
      <c r="Q106" s="8" t="n">
        <f aca="false">((H106-H105)/H105)*100</f>
        <v>-0.782871137215467</v>
      </c>
      <c r="S106" s="9"/>
      <c r="V106" s="9" t="n">
        <f aca="false">K100-$V$4</f>
        <v>1.8111480499519</v>
      </c>
      <c r="W106" s="9" t="n">
        <f aca="false">L100-$W$4</f>
        <v>1.56598195185606</v>
      </c>
      <c r="X106" s="9" t="n">
        <f aca="false">M100-$X$4</f>
        <v>3.24778536365448</v>
      </c>
      <c r="Y106" s="9" t="n">
        <f aca="false">N100-$Y$4</f>
        <v>0.288995110130004</v>
      </c>
      <c r="Z106" s="9" t="n">
        <f aca="false">O100-$Z$4</f>
        <v>1.74803307045844</v>
      </c>
      <c r="AA106" s="9" t="n">
        <f aca="false">P100-$AA$4</f>
        <v>-0.0155831772117813</v>
      </c>
      <c r="AB106" s="9" t="n">
        <f aca="false">Q100-$AB$4</f>
        <v>-2.62680817434262</v>
      </c>
    </row>
    <row r="107" customFormat="false" ht="15.75" hidden="false" customHeight="false" outlineLevel="0" collapsed="false">
      <c r="A107" s="7" t="n">
        <v>45446</v>
      </c>
      <c r="B107" s="8" t="n">
        <v>3021.25</v>
      </c>
      <c r="C107" s="9" t="n">
        <v>3702.85</v>
      </c>
      <c r="D107" s="9" t="n">
        <v>2634</v>
      </c>
      <c r="E107" s="8" t="n">
        <v>2355.05</v>
      </c>
      <c r="F107" s="9" t="n">
        <v>1391.1</v>
      </c>
      <c r="G107" s="11" t="n">
        <v>1631</v>
      </c>
      <c r="H107" s="12" t="n">
        <v>0.51311754</v>
      </c>
      <c r="I107" s="12"/>
      <c r="J107" s="12"/>
      <c r="K107" s="8" t="n">
        <f aca="false">((B107-B106)/B106)*100</f>
        <v>5.65288851587635</v>
      </c>
      <c r="L107" s="8" t="n">
        <f aca="false">((C107-C106)/C106)*100</f>
        <v>0.868984867677307</v>
      </c>
      <c r="M107" s="8" t="n">
        <f aca="false">((D107-D106)/D106)*100</f>
        <v>5.09725685785536</v>
      </c>
      <c r="N107" s="8" t="n">
        <f aca="false">((E107-E106)/E106)*100</f>
        <v>0.00636969722706234</v>
      </c>
      <c r="O107" s="8" t="n">
        <f aca="false">((F107-F106)/F106)*100</f>
        <v>1.33673283554907</v>
      </c>
      <c r="P107" s="8" t="n">
        <f aca="false">((G107-G106)/G106)*100</f>
        <v>-1.54830531494281</v>
      </c>
      <c r="Q107" s="8" t="n">
        <f aca="false">((H107-H106)/H106)*100</f>
        <v>-1.11970637314413</v>
      </c>
      <c r="S107" s="9"/>
      <c r="V107" s="9" t="n">
        <f aca="false">K101-$V$4</f>
        <v>-0.435316440228095</v>
      </c>
      <c r="W107" s="9" t="n">
        <f aca="false">L101-$W$4</f>
        <v>-1.16643821457033</v>
      </c>
      <c r="X107" s="9" t="n">
        <f aca="false">M101-$X$4</f>
        <v>-1.37747206142178</v>
      </c>
      <c r="Y107" s="9" t="n">
        <f aca="false">N101-$Y$4</f>
        <v>-0.172178421862061</v>
      </c>
      <c r="Z107" s="9" t="n">
        <f aca="false">O101-$Z$4</f>
        <v>0.859613845800964</v>
      </c>
      <c r="AA107" s="9" t="n">
        <f aca="false">P101-$AA$4</f>
        <v>0.411892550133536</v>
      </c>
      <c r="AB107" s="9" t="n">
        <f aca="false">Q101-$AB$4</f>
        <v>-0.199715102987873</v>
      </c>
    </row>
    <row r="108" customFormat="false" ht="15.75" hidden="false" customHeight="false" outlineLevel="0" collapsed="false">
      <c r="A108" s="7" t="n">
        <v>45447</v>
      </c>
      <c r="B108" s="8" t="n">
        <v>2793.6</v>
      </c>
      <c r="C108" s="9" t="n">
        <v>3715</v>
      </c>
      <c r="D108" s="9" t="n">
        <v>2572.9</v>
      </c>
      <c r="E108" s="8" t="n">
        <v>2427.75</v>
      </c>
      <c r="F108" s="9" t="n">
        <v>1299.7</v>
      </c>
      <c r="G108" s="11" t="n">
        <v>1597</v>
      </c>
      <c r="H108" s="12" t="n">
        <v>0.520061253</v>
      </c>
      <c r="I108" s="12"/>
      <c r="J108" s="12"/>
      <c r="K108" s="8" t="n">
        <f aca="false">((B108-B107)/B107)*100</f>
        <v>-7.53496069507654</v>
      </c>
      <c r="L108" s="8" t="n">
        <f aca="false">((C108-C107)/C107)*100</f>
        <v>0.328125632958399</v>
      </c>
      <c r="M108" s="8" t="n">
        <f aca="false">((D108-D107)/D107)*100</f>
        <v>-2.31966590736522</v>
      </c>
      <c r="N108" s="8" t="n">
        <f aca="false">((E108-E107)/E107)*100</f>
        <v>3.08698329122523</v>
      </c>
      <c r="O108" s="8" t="n">
        <f aca="false">((F108-F107)/F107)*100</f>
        <v>-6.57034001869024</v>
      </c>
      <c r="P108" s="8" t="n">
        <f aca="false">((G108-G107)/G107)*100</f>
        <v>-2.08461066830166</v>
      </c>
      <c r="Q108" s="8" t="n">
        <f aca="false">((H108-H107)/H107)*100</f>
        <v>1.35324023419663</v>
      </c>
      <c r="S108" s="9"/>
      <c r="V108" s="9" t="n">
        <f aca="false">K102-$V$4</f>
        <v>-0.908672506270703</v>
      </c>
      <c r="W108" s="9" t="n">
        <f aca="false">L102-$W$4</f>
        <v>-0.101263929926155</v>
      </c>
      <c r="X108" s="9" t="n">
        <f aca="false">M102-$X$4</f>
        <v>-1.43687323184551</v>
      </c>
      <c r="Y108" s="9" t="n">
        <f aca="false">N102-$Y$4</f>
        <v>-0.231607261111048</v>
      </c>
      <c r="Z108" s="9" t="n">
        <f aca="false">O102-$Z$4</f>
        <v>-0.490905517189186</v>
      </c>
      <c r="AA108" s="9" t="n">
        <f aca="false">P102-$AA$4</f>
        <v>0.057455732202207</v>
      </c>
      <c r="AB108" s="9" t="n">
        <f aca="false">Q102-$AB$4</f>
        <v>-0.837351893122379</v>
      </c>
    </row>
    <row r="109" customFormat="false" ht="15.75" hidden="false" customHeight="false" outlineLevel="0" collapsed="false">
      <c r="A109" s="7" t="n">
        <v>45448</v>
      </c>
      <c r="B109" s="8" t="n">
        <v>2842.15</v>
      </c>
      <c r="C109" s="9" t="n">
        <v>3746.45</v>
      </c>
      <c r="D109" s="9" t="n">
        <v>2740.95</v>
      </c>
      <c r="E109" s="8" t="n">
        <v>2509.85</v>
      </c>
      <c r="F109" s="9" t="n">
        <v>1344.35</v>
      </c>
      <c r="G109" s="11" t="n">
        <v>1555</v>
      </c>
      <c r="H109" s="12" t="n">
        <v>0.525877758</v>
      </c>
      <c r="I109" s="12"/>
      <c r="J109" s="12"/>
      <c r="K109" s="8" t="n">
        <f aca="false">((B109-B108)/B108)*100</f>
        <v>1.7379009163803</v>
      </c>
      <c r="L109" s="8" t="n">
        <f aca="false">((C109-C108)/C108)*100</f>
        <v>0.846567967698515</v>
      </c>
      <c r="M109" s="8" t="n">
        <f aca="false">((D109-D108)/D108)*100</f>
        <v>6.53154028528119</v>
      </c>
      <c r="N109" s="8" t="n">
        <f aca="false">((E109-E108)/E108)*100</f>
        <v>3.38173205643085</v>
      </c>
      <c r="O109" s="8" t="n">
        <f aca="false">((F109-F108)/F108)*100</f>
        <v>3.4354081711164</v>
      </c>
      <c r="P109" s="8" t="n">
        <f aca="false">((G109-G108)/G108)*100</f>
        <v>-2.6299311208516</v>
      </c>
      <c r="Q109" s="8" t="n">
        <f aca="false">((H109-H108)/H108)*100</f>
        <v>1.11842690960868</v>
      </c>
      <c r="S109" s="9"/>
      <c r="V109" s="9" t="n">
        <f aca="false">K103-$V$4</f>
        <v>-0.707568561795191</v>
      </c>
      <c r="W109" s="9" t="n">
        <f aca="false">L103-$W$4</f>
        <v>-0.223475996143516</v>
      </c>
      <c r="X109" s="9" t="n">
        <f aca="false">M103-$X$4</f>
        <v>-0.103624341419868</v>
      </c>
      <c r="Y109" s="9" t="n">
        <f aca="false">N103-$Y$4</f>
        <v>-0.246850609521378</v>
      </c>
      <c r="Z109" s="9" t="n">
        <f aca="false">O103-$Z$4</f>
        <v>-1.15276152708757</v>
      </c>
      <c r="AA109" s="9" t="n">
        <f aca="false">P103-$AA$4</f>
        <v>0.465604627298913</v>
      </c>
      <c r="AB109" s="9" t="n">
        <f aca="false">Q103-$AB$4</f>
        <v>0.411788770643418</v>
      </c>
    </row>
    <row r="110" customFormat="false" ht="15.75" hidden="false" customHeight="false" outlineLevel="0" collapsed="false">
      <c r="A110" s="7" t="n">
        <v>45449</v>
      </c>
      <c r="B110" s="8" t="n">
        <v>2863.75</v>
      </c>
      <c r="C110" s="9" t="n">
        <v>3830.4</v>
      </c>
      <c r="D110" s="9" t="n">
        <v>2699.85</v>
      </c>
      <c r="E110" s="8" t="n">
        <v>2471.4</v>
      </c>
      <c r="F110" s="9" t="n">
        <v>1370.6</v>
      </c>
      <c r="G110" s="11" t="n">
        <v>1555</v>
      </c>
      <c r="H110" s="12" t="n">
        <v>0.526266121</v>
      </c>
      <c r="I110" s="12"/>
      <c r="J110" s="12"/>
      <c r="K110" s="8" t="n">
        <f aca="false">((B110-B109)/B109)*100</f>
        <v>0.759988037225337</v>
      </c>
      <c r="L110" s="8" t="n">
        <f aca="false">((C110-C109)/C109)*100</f>
        <v>2.24078794592215</v>
      </c>
      <c r="M110" s="8" t="n">
        <f aca="false">((D110-D109)/D109)*100</f>
        <v>-1.49948010726208</v>
      </c>
      <c r="N110" s="8" t="n">
        <f aca="false">((E110-E109)/E109)*100</f>
        <v>-1.5319640615973</v>
      </c>
      <c r="O110" s="8" t="n">
        <f aca="false">((F110-F109)/F109)*100</f>
        <v>1.9526165061182</v>
      </c>
      <c r="P110" s="8" t="n">
        <f aca="false">((G110-G109)/G109)*100</f>
        <v>0</v>
      </c>
      <c r="Q110" s="8" t="n">
        <f aca="false">((H110-H109)/H109)*100</f>
        <v>0.0738504327463879</v>
      </c>
      <c r="S110" s="9"/>
      <c r="V110" s="9" t="n">
        <f aca="false">K104-$V$4</f>
        <v>-1.00823886957649</v>
      </c>
      <c r="W110" s="9" t="n">
        <f aca="false">L104-$W$4</f>
        <v>-0.981654301665021</v>
      </c>
      <c r="X110" s="9" t="n">
        <f aca="false">M104-$X$4</f>
        <v>-0.998930300481684</v>
      </c>
      <c r="Y110" s="9" t="n">
        <f aca="false">N104-$Y$4</f>
        <v>1.0858028780795</v>
      </c>
      <c r="Z110" s="9" t="n">
        <f aca="false">O104-$Z$4</f>
        <v>0.249245811831862</v>
      </c>
      <c r="AA110" s="9" t="n">
        <f aca="false">P104-$AA$4</f>
        <v>-0.714793242651786</v>
      </c>
      <c r="AB110" s="9" t="n">
        <f aca="false">Q104-$AB$4</f>
        <v>-1.78520865862213</v>
      </c>
    </row>
    <row r="111" customFormat="false" ht="15.75" hidden="false" customHeight="false" outlineLevel="0" collapsed="false">
      <c r="A111" s="7" t="n">
        <v>45450</v>
      </c>
      <c r="B111" s="8" t="n">
        <v>2939.45</v>
      </c>
      <c r="C111" s="9" t="n">
        <v>3893.95</v>
      </c>
      <c r="D111" s="9" t="n">
        <v>2857.45</v>
      </c>
      <c r="E111" s="8" t="n">
        <v>2502.45</v>
      </c>
      <c r="F111" s="9" t="n">
        <v>1425.25</v>
      </c>
      <c r="G111" s="11" t="n">
        <v>1533.35</v>
      </c>
      <c r="H111" s="12" t="n">
        <v>0.521672648</v>
      </c>
      <c r="I111" s="12"/>
      <c r="J111" s="12"/>
      <c r="K111" s="8" t="n">
        <f aca="false">((B111-B110)/B110)*100</f>
        <v>2.6433871671759</v>
      </c>
      <c r="L111" s="8" t="n">
        <f aca="false">((C111-C110)/C110)*100</f>
        <v>1.65909565580618</v>
      </c>
      <c r="M111" s="8" t="n">
        <f aca="false">((D111-D110)/D110)*100</f>
        <v>5.83736133488897</v>
      </c>
      <c r="N111" s="8" t="n">
        <f aca="false">((E111-E110)/E110)*100</f>
        <v>1.25637290604515</v>
      </c>
      <c r="O111" s="8" t="n">
        <f aca="false">((F111-F110)/F110)*100</f>
        <v>3.98730483000147</v>
      </c>
      <c r="P111" s="8" t="n">
        <f aca="false">((G111-G110)/G110)*100</f>
        <v>-1.39228295819936</v>
      </c>
      <c r="Q111" s="8" t="n">
        <f aca="false">((H111-H110)/H110)*100</f>
        <v>-0.872842240209496</v>
      </c>
      <c r="S111" s="9"/>
      <c r="V111" s="9" t="n">
        <f aca="false">K105-$V$4</f>
        <v>-1.07608795094482</v>
      </c>
      <c r="W111" s="9" t="n">
        <f aca="false">L105-$W$4</f>
        <v>-1.81354505627784</v>
      </c>
      <c r="X111" s="9" t="n">
        <f aca="false">M105-$X$4</f>
        <v>-1.83344394704959</v>
      </c>
      <c r="Y111" s="9" t="n">
        <f aca="false">N105-$Y$4</f>
        <v>-2.79695417376918</v>
      </c>
      <c r="Z111" s="9" t="n">
        <f aca="false">O105-$Z$4</f>
        <v>-0.18839101137022</v>
      </c>
      <c r="AA111" s="9" t="n">
        <f aca="false">P105-$AA$4</f>
        <v>-0.468763606210029</v>
      </c>
      <c r="AB111" s="9" t="n">
        <f aca="false">Q105-$AB$4</f>
        <v>-1.63881474275786</v>
      </c>
    </row>
    <row r="112" customFormat="false" ht="15.75" hidden="false" customHeight="false" outlineLevel="0" collapsed="false">
      <c r="A112" s="7" t="n">
        <v>45453</v>
      </c>
      <c r="B112" s="8" t="n">
        <v>2940.6</v>
      </c>
      <c r="C112" s="9" t="n">
        <v>3858.7</v>
      </c>
      <c r="D112" s="9" t="n">
        <v>2807.55</v>
      </c>
      <c r="E112" s="8" t="n">
        <v>2548.2</v>
      </c>
      <c r="F112" s="9" t="n">
        <v>1426.05</v>
      </c>
      <c r="G112" s="11" t="n">
        <v>1513.25</v>
      </c>
      <c r="H112" s="12" t="n">
        <v>0.498548297</v>
      </c>
      <c r="I112" s="12"/>
      <c r="J112" s="12"/>
      <c r="K112" s="8" t="n">
        <f aca="false">((B112-B111)/B111)*100</f>
        <v>0.0391229651805641</v>
      </c>
      <c r="L112" s="8" t="n">
        <f aca="false">((C112-C111)/C111)*100</f>
        <v>-0.905250452625226</v>
      </c>
      <c r="M112" s="8" t="n">
        <f aca="false">((D112-D111)/D111)*100</f>
        <v>-1.74631227143081</v>
      </c>
      <c r="N112" s="8" t="n">
        <f aca="false">((E112-E111)/E111)*100</f>
        <v>1.82820835581131</v>
      </c>
      <c r="O112" s="8" t="n">
        <f aca="false">((F112-F111)/F111)*100</f>
        <v>0.0561305034204494</v>
      </c>
      <c r="P112" s="8" t="n">
        <f aca="false">((G112-G111)/G111)*100</f>
        <v>-1.31085531679003</v>
      </c>
      <c r="Q112" s="8" t="n">
        <f aca="false">((H112-H111)/H111)*100</f>
        <v>-4.43273211441211</v>
      </c>
      <c r="S112" s="9"/>
      <c r="V112" s="9" t="n">
        <f aca="false">K106-$V$4</f>
        <v>0.352218521216939</v>
      </c>
      <c r="W112" s="9" t="n">
        <f aca="false">L106-$W$4</f>
        <v>-1.78141630832829</v>
      </c>
      <c r="X112" s="9" t="n">
        <f aca="false">M106-$X$4</f>
        <v>0.262555846798019</v>
      </c>
      <c r="Y112" s="9" t="n">
        <f aca="false">N106-$Y$4</f>
        <v>-1.98852035890156</v>
      </c>
      <c r="Z112" s="9" t="n">
        <f aca="false">O106-$Z$4</f>
        <v>-0.511522247285659</v>
      </c>
      <c r="AA112" s="9" t="n">
        <f aca="false">P106-$AA$4</f>
        <v>-2.62495162324132</v>
      </c>
      <c r="AB112" s="9" t="n">
        <f aca="false">Q106-$AB$4</f>
        <v>-1.46212885361862</v>
      </c>
    </row>
    <row r="113" customFormat="false" ht="15.75" hidden="false" customHeight="false" outlineLevel="0" collapsed="false">
      <c r="A113" s="7" t="n">
        <v>45454</v>
      </c>
      <c r="B113" s="8" t="n">
        <v>2913.5</v>
      </c>
      <c r="C113" s="9" t="n">
        <v>3852.1</v>
      </c>
      <c r="D113" s="9" t="n">
        <v>2835.55</v>
      </c>
      <c r="E113" s="8" t="n">
        <v>2541.95</v>
      </c>
      <c r="F113" s="9" t="n">
        <v>1427.25</v>
      </c>
      <c r="G113" s="11" t="n">
        <v>1505</v>
      </c>
      <c r="H113" s="12" t="n">
        <v>0.496732831</v>
      </c>
      <c r="I113" s="12"/>
      <c r="J113" s="12"/>
      <c r="K113" s="8" t="n">
        <f aca="false">((B113-B112)/B112)*100</f>
        <v>-0.921580629803438</v>
      </c>
      <c r="L113" s="8" t="n">
        <f aca="false">((C113-C112)/C112)*100</f>
        <v>-0.171042060797676</v>
      </c>
      <c r="M113" s="8" t="n">
        <f aca="false">((D113-D112)/D112)*100</f>
        <v>0.997310822603337</v>
      </c>
      <c r="N113" s="8" t="n">
        <f aca="false">((E113-E112)/E112)*100</f>
        <v>-0.24527117180755</v>
      </c>
      <c r="O113" s="8" t="n">
        <f aca="false">((F113-F112)/F112)*100</f>
        <v>0.0841485221415831</v>
      </c>
      <c r="P113" s="8" t="n">
        <f aca="false">((G113-G112)/G112)*100</f>
        <v>-0.545184206178754</v>
      </c>
      <c r="Q113" s="8" t="n">
        <f aca="false">((H113-H112)/H112)*100</f>
        <v>-0.36415047667889</v>
      </c>
      <c r="S113" s="9"/>
      <c r="V113" s="9" t="n">
        <f aca="false">K107-$V$4</f>
        <v>5.66826493183013</v>
      </c>
      <c r="W113" s="9" t="n">
        <f aca="false">L107-$W$4</f>
        <v>0.831365566923767</v>
      </c>
      <c r="X113" s="9" t="n">
        <f aca="false">M107-$X$4</f>
        <v>4.84848324806625</v>
      </c>
      <c r="Y113" s="9" t="n">
        <f aca="false">N107-$Y$4</f>
        <v>0.0928659717253711</v>
      </c>
      <c r="Z113" s="9" t="n">
        <f aca="false">O107-$Z$4</f>
        <v>1.14471100579238</v>
      </c>
      <c r="AA113" s="9" t="n">
        <f aca="false">P107-$AA$4</f>
        <v>-1.5287648275856</v>
      </c>
      <c r="AB113" s="9" t="n">
        <f aca="false">Q107-$AB$4</f>
        <v>-1.79896408954728</v>
      </c>
    </row>
    <row r="114" customFormat="false" ht="15.75" hidden="false" customHeight="false" outlineLevel="0" collapsed="false">
      <c r="A114" s="7" t="n">
        <v>45455</v>
      </c>
      <c r="B114" s="8" t="n">
        <v>2926.05</v>
      </c>
      <c r="C114" s="9" t="n">
        <v>3831.65</v>
      </c>
      <c r="D114" s="9" t="n">
        <v>2787.55</v>
      </c>
      <c r="E114" s="8" t="n">
        <v>2537.3</v>
      </c>
      <c r="F114" s="9" t="n">
        <v>1438.4</v>
      </c>
      <c r="G114" s="11" t="n">
        <v>1506.65</v>
      </c>
      <c r="H114" s="12" t="n">
        <v>0.480254556</v>
      </c>
      <c r="I114" s="12"/>
      <c r="J114" s="12"/>
      <c r="K114" s="8" t="n">
        <f aca="false">((B114-B113)/B113)*100</f>
        <v>0.430753389394206</v>
      </c>
      <c r="L114" s="8" t="n">
        <f aca="false">((C114-C113)/C113)*100</f>
        <v>-0.53087926066301</v>
      </c>
      <c r="M114" s="8" t="n">
        <f aca="false">((D114-D113)/D113)*100</f>
        <v>-1.6927932852533</v>
      </c>
      <c r="N114" s="8" t="n">
        <f aca="false">((E114-E113)/E113)*100</f>
        <v>-0.182930427427748</v>
      </c>
      <c r="O114" s="8" t="n">
        <f aca="false">((F114-F113)/F113)*100</f>
        <v>0.78122263093362</v>
      </c>
      <c r="P114" s="8" t="n">
        <f aca="false">((G114-G113)/G113)*100</f>
        <v>0.109634551495023</v>
      </c>
      <c r="Q114" s="8" t="n">
        <f aca="false">((H114-H113)/H113)*100</f>
        <v>-3.31733156570841</v>
      </c>
      <c r="S114" s="9"/>
      <c r="V114" s="9" t="n">
        <f aca="false">K108-$V$4</f>
        <v>-7.51958427912276</v>
      </c>
      <c r="W114" s="9" t="n">
        <f aca="false">L108-$W$4</f>
        <v>0.29050633220486</v>
      </c>
      <c r="X114" s="9" t="n">
        <f aca="false">M108-$X$4</f>
        <v>-2.56843951715433</v>
      </c>
      <c r="Y114" s="9" t="n">
        <f aca="false">N108-$Y$4</f>
        <v>3.17347956572354</v>
      </c>
      <c r="Z114" s="9" t="n">
        <f aca="false">O108-$Z$4</f>
        <v>-6.76236184844693</v>
      </c>
      <c r="AA114" s="9" t="n">
        <f aca="false">P108-$AA$4</f>
        <v>-2.06507018094444</v>
      </c>
      <c r="AB114" s="9" t="n">
        <f aca="false">Q108-$AB$4</f>
        <v>0.673982517793476</v>
      </c>
    </row>
    <row r="115" customFormat="false" ht="15.75" hidden="false" customHeight="false" outlineLevel="0" collapsed="false">
      <c r="A115" s="7" t="n">
        <v>45456</v>
      </c>
      <c r="B115" s="8" t="n">
        <v>2928.65</v>
      </c>
      <c r="C115" s="9" t="n">
        <v>3878.15</v>
      </c>
      <c r="D115" s="9" t="n">
        <v>2861.7</v>
      </c>
      <c r="E115" s="8" t="n">
        <v>2551.75</v>
      </c>
      <c r="F115" s="9" t="n">
        <v>1425.75</v>
      </c>
      <c r="G115" s="11" t="n">
        <v>1482.5</v>
      </c>
      <c r="H115" s="12" t="n">
        <v>0.491424163</v>
      </c>
      <c r="I115" s="12"/>
      <c r="J115" s="12"/>
      <c r="K115" s="8" t="n">
        <f aca="false">((B115-B114)/B114)*100</f>
        <v>0.088856991507319</v>
      </c>
      <c r="L115" s="8" t="n">
        <f aca="false">((C115-C114)/C114)*100</f>
        <v>1.21357639659155</v>
      </c>
      <c r="M115" s="8" t="n">
        <f aca="false">((D115-D114)/D114)*100</f>
        <v>2.66004197234129</v>
      </c>
      <c r="N115" s="8" t="n">
        <f aca="false">((E115-E114)/E114)*100</f>
        <v>0.569503015015955</v>
      </c>
      <c r="O115" s="8" t="n">
        <f aca="false">((F115-F114)/F114)*100</f>
        <v>-0.879449388209128</v>
      </c>
      <c r="P115" s="8" t="n">
        <f aca="false">((G115-G114)/G114)*100</f>
        <v>-1.60289383732122</v>
      </c>
      <c r="Q115" s="8" t="n">
        <f aca="false">((H115-H114)/H114)*100</f>
        <v>2.32576804539466</v>
      </c>
      <c r="S115" s="9"/>
      <c r="V115" s="9" t="n">
        <f aca="false">K109-$V$4</f>
        <v>1.75327733233409</v>
      </c>
      <c r="W115" s="9" t="n">
        <f aca="false">L109-$W$4</f>
        <v>0.808948666944975</v>
      </c>
      <c r="X115" s="9" t="n">
        <f aca="false">M109-$X$4</f>
        <v>6.28276667549208</v>
      </c>
      <c r="Y115" s="9" t="n">
        <f aca="false">N109-$Y$4</f>
        <v>3.46822833092916</v>
      </c>
      <c r="Z115" s="9" t="n">
        <f aca="false">O109-$Z$4</f>
        <v>3.2433863413597</v>
      </c>
      <c r="AA115" s="9" t="n">
        <f aca="false">P109-$AA$4</f>
        <v>-2.61039063349438</v>
      </c>
      <c r="AB115" s="9" t="n">
        <f aca="false">Q109-$AB$4</f>
        <v>0.439169193205532</v>
      </c>
    </row>
    <row r="116" customFormat="false" ht="15.75" hidden="false" customHeight="false" outlineLevel="0" collapsed="false">
      <c r="A116" s="7" t="n">
        <v>45457</v>
      </c>
      <c r="B116" s="8" t="n">
        <v>2954.55</v>
      </c>
      <c r="C116" s="9" t="n">
        <v>3832.05</v>
      </c>
      <c r="D116" s="9" t="n">
        <v>2928.6</v>
      </c>
      <c r="E116" s="8" t="n">
        <v>2542.5</v>
      </c>
      <c r="F116" s="9" t="n">
        <v>1427.4</v>
      </c>
      <c r="G116" s="11" t="n">
        <v>1490</v>
      </c>
      <c r="H116" s="12" t="n">
        <v>0.476517078</v>
      </c>
      <c r="I116" s="12"/>
      <c r="J116" s="12"/>
      <c r="K116" s="8" t="n">
        <f aca="false">((B116-B115)/B115)*100</f>
        <v>0.884366516995889</v>
      </c>
      <c r="L116" s="8" t="n">
        <f aca="false">((C116-C115)/C115)*100</f>
        <v>-1.18871111225713</v>
      </c>
      <c r="M116" s="8" t="n">
        <f aca="false">((D116-D115)/D115)*100</f>
        <v>2.33777125484852</v>
      </c>
      <c r="N116" s="8" t="n">
        <f aca="false">((E116-E115)/E115)*100</f>
        <v>-0.36249632605075</v>
      </c>
      <c r="O116" s="8" t="n">
        <f aca="false">((F116-F115)/F115)*100</f>
        <v>0.115728563913736</v>
      </c>
      <c r="P116" s="8" t="n">
        <f aca="false">((G116-G115)/G115)*100</f>
        <v>0.505902192242833</v>
      </c>
      <c r="Q116" s="8" t="n">
        <f aca="false">((H116-H115)/H115)*100</f>
        <v>-3.03344567125</v>
      </c>
      <c r="S116" s="9"/>
      <c r="V116" s="9" t="n">
        <f aca="false">K110-$V$4</f>
        <v>0.775364453179121</v>
      </c>
      <c r="W116" s="9" t="n">
        <f aca="false">L110-$W$4</f>
        <v>2.20316864516861</v>
      </c>
      <c r="X116" s="9" t="n">
        <f aca="false">M110-$X$4</f>
        <v>-1.74825371705118</v>
      </c>
      <c r="Y116" s="9" t="n">
        <f aca="false">N110-$Y$4</f>
        <v>-1.44546778709899</v>
      </c>
      <c r="Z116" s="9" t="n">
        <f aca="false">O110-$Z$4</f>
        <v>1.7605946763615</v>
      </c>
      <c r="AA116" s="9" t="n">
        <f aca="false">P110-$AA$4</f>
        <v>0.0195404873572167</v>
      </c>
      <c r="AB116" s="9" t="n">
        <f aca="false">Q110-$AB$4</f>
        <v>-0.605407283656761</v>
      </c>
    </row>
    <row r="117" customFormat="false" ht="15.75" hidden="false" customHeight="false" outlineLevel="0" collapsed="false">
      <c r="A117" s="7" t="n">
        <v>45461</v>
      </c>
      <c r="B117" s="8" t="n">
        <v>2961.4</v>
      </c>
      <c r="C117" s="9" t="n">
        <v>3815.1</v>
      </c>
      <c r="D117" s="9" t="n">
        <v>2961.9</v>
      </c>
      <c r="E117" s="8" t="n">
        <v>2550.35</v>
      </c>
      <c r="F117" s="9" t="n">
        <v>1428.35</v>
      </c>
      <c r="G117" s="11" t="n">
        <v>1483</v>
      </c>
      <c r="H117" s="12" t="n">
        <v>0.504434504</v>
      </c>
      <c r="I117" s="12"/>
      <c r="J117" s="12"/>
      <c r="K117" s="8" t="n">
        <f aca="false">((B117-B116)/B116)*100</f>
        <v>0.231845797160309</v>
      </c>
      <c r="L117" s="8" t="n">
        <f aca="false">((C117-C116)/C116)*100</f>
        <v>-0.442321994754773</v>
      </c>
      <c r="M117" s="8" t="n">
        <f aca="false">((D117-D116)/D116)*100</f>
        <v>1.13706207744315</v>
      </c>
      <c r="N117" s="8" t="n">
        <f aca="false">((E117-E116)/E116)*100</f>
        <v>0.308751229105208</v>
      </c>
      <c r="O117" s="8" t="n">
        <f aca="false">((F117-F116)/F116)*100</f>
        <v>0.0665545747512833</v>
      </c>
      <c r="P117" s="8" t="n">
        <f aca="false">((G117-G116)/G116)*100</f>
        <v>-0.469798657718121</v>
      </c>
      <c r="Q117" s="8" t="n">
        <f aca="false">((H117-H116)/H116)*100</f>
        <v>5.85864123006312</v>
      </c>
      <c r="S117" s="9"/>
      <c r="V117" s="9" t="n">
        <f aca="false">K111-$V$4</f>
        <v>2.65876358312968</v>
      </c>
      <c r="W117" s="9" t="n">
        <f aca="false">L111-$W$4</f>
        <v>1.62147635505264</v>
      </c>
      <c r="X117" s="9" t="n">
        <f aca="false">M111-$X$4</f>
        <v>5.58858772509987</v>
      </c>
      <c r="Y117" s="9" t="n">
        <f aca="false">N111-$Y$4</f>
        <v>1.34286918054345</v>
      </c>
      <c r="Z117" s="9" t="n">
        <f aca="false">O111-$Z$4</f>
        <v>3.79528300024477</v>
      </c>
      <c r="AA117" s="9" t="n">
        <f aca="false">P111-$AA$4</f>
        <v>-1.37274247084215</v>
      </c>
      <c r="AB117" s="9" t="n">
        <f aca="false">Q111-$AB$4</f>
        <v>-1.55209995661264</v>
      </c>
    </row>
    <row r="118" customFormat="false" ht="15.75" hidden="false" customHeight="false" outlineLevel="0" collapsed="false">
      <c r="A118" s="7" t="n">
        <v>45462</v>
      </c>
      <c r="B118" s="8" t="n">
        <v>2917.2</v>
      </c>
      <c r="C118" s="9" t="n">
        <v>3801.7</v>
      </c>
      <c r="D118" s="9" t="n">
        <v>2933.85</v>
      </c>
      <c r="E118" s="8" t="n">
        <v>2526.05</v>
      </c>
      <c r="F118" s="9" t="n">
        <v>1392.35</v>
      </c>
      <c r="G118" s="11" t="n">
        <v>1475</v>
      </c>
      <c r="H118" s="12" t="n">
        <v>0.490690188</v>
      </c>
      <c r="I118" s="12"/>
      <c r="J118" s="12"/>
      <c r="K118" s="8" t="n">
        <f aca="false">((B118-B117)/B117)*100</f>
        <v>-1.49253731343285</v>
      </c>
      <c r="L118" s="8" t="n">
        <f aca="false">((C118-C117)/C117)*100</f>
        <v>-0.351235878482873</v>
      </c>
      <c r="M118" s="8" t="n">
        <f aca="false">((D118-D117)/D117)*100</f>
        <v>-0.947027246024517</v>
      </c>
      <c r="N118" s="8" t="n">
        <f aca="false">((E118-E117)/E117)*100</f>
        <v>-0.952810398572734</v>
      </c>
      <c r="O118" s="8" t="n">
        <f aca="false">((F118-F117)/F117)*100</f>
        <v>-2.52039066055239</v>
      </c>
      <c r="P118" s="8" t="n">
        <f aca="false">((G118-G117)/G117)*100</f>
        <v>-0.539447066756575</v>
      </c>
      <c r="Q118" s="8" t="n">
        <f aca="false">((H118-H117)/H117)*100</f>
        <v>-2.72469783312047</v>
      </c>
      <c r="S118" s="9"/>
      <c r="V118" s="9" t="n">
        <f aca="false">K112-$V$4</f>
        <v>0.0544993811343486</v>
      </c>
      <c r="W118" s="9" t="n">
        <f aca="false">L112-$W$4</f>
        <v>-0.942869753378766</v>
      </c>
      <c r="X118" s="9" t="n">
        <f aca="false">M112-$X$4</f>
        <v>-1.99508588121992</v>
      </c>
      <c r="Y118" s="9" t="n">
        <f aca="false">N112-$Y$4</f>
        <v>1.91470463030961</v>
      </c>
      <c r="Z118" s="9" t="n">
        <f aca="false">O112-$Z$4</f>
        <v>-0.135891326336249</v>
      </c>
      <c r="AA118" s="9" t="n">
        <f aca="false">P112-$AA$4</f>
        <v>-1.29131482943281</v>
      </c>
      <c r="AB118" s="9" t="n">
        <f aca="false">Q112-$AB$4</f>
        <v>-5.11198983081526</v>
      </c>
    </row>
    <row r="119" customFormat="false" ht="15.75" hidden="false" customHeight="false" outlineLevel="0" collapsed="false">
      <c r="A119" s="7" t="n">
        <v>45463</v>
      </c>
      <c r="B119" s="8" t="n">
        <v>2946.4</v>
      </c>
      <c r="C119" s="9" t="n">
        <v>3787.25</v>
      </c>
      <c r="D119" s="9" t="n">
        <v>2871.2</v>
      </c>
      <c r="E119" s="8" t="n">
        <v>2539.75</v>
      </c>
      <c r="F119" s="9" t="n">
        <v>1381.15</v>
      </c>
      <c r="G119" s="11" t="n">
        <v>1462.65</v>
      </c>
      <c r="H119" s="12" t="n">
        <v>0.492996348</v>
      </c>
      <c r="I119" s="12"/>
      <c r="J119" s="12"/>
      <c r="K119" s="8" t="n">
        <f aca="false">((B119-B118)/B118)*100</f>
        <v>1.00095982448925</v>
      </c>
      <c r="L119" s="8" t="n">
        <f aca="false">((C119-C118)/C118)*100</f>
        <v>-0.380093116237468</v>
      </c>
      <c r="M119" s="8" t="n">
        <f aca="false">((D119-D118)/D118)*100</f>
        <v>-2.13541932954991</v>
      </c>
      <c r="N119" s="8" t="n">
        <f aca="false">((E119-E118)/E118)*100</f>
        <v>0.542348726272236</v>
      </c>
      <c r="O119" s="8" t="n">
        <f aca="false">((F119-F118)/F118)*100</f>
        <v>-0.804395446547191</v>
      </c>
      <c r="P119" s="8" t="n">
        <f aca="false">((G119-G118)/G118)*100</f>
        <v>-0.837288135593214</v>
      </c>
      <c r="Q119" s="8" t="n">
        <f aca="false">((H119-H118)/H118)*100</f>
        <v>0.46998290497709</v>
      </c>
      <c r="S119" s="9"/>
      <c r="V119" s="9" t="n">
        <f aca="false">K113-$V$4</f>
        <v>-0.906204213849654</v>
      </c>
      <c r="W119" s="9" t="n">
        <f aca="false">L113-$W$4</f>
        <v>-0.208661361551215</v>
      </c>
      <c r="X119" s="9" t="n">
        <f aca="false">M113-$X$4</f>
        <v>0.74853721281423</v>
      </c>
      <c r="Y119" s="9" t="n">
        <f aca="false">N113-$Y$4</f>
        <v>-0.158774897309242</v>
      </c>
      <c r="Z119" s="9" t="n">
        <f aca="false">O113-$Z$4</f>
        <v>-0.107873307615115</v>
      </c>
      <c r="AA119" s="9" t="n">
        <f aca="false">P113-$AA$4</f>
        <v>-0.525643718821538</v>
      </c>
      <c r="AB119" s="9" t="n">
        <f aca="false">Q113-$AB$4</f>
        <v>-1.04340819308204</v>
      </c>
    </row>
    <row r="120" customFormat="false" ht="15.75" hidden="false" customHeight="false" outlineLevel="0" collapsed="false">
      <c r="A120" s="7" t="n">
        <v>45464</v>
      </c>
      <c r="B120" s="8" t="n">
        <v>2906.8</v>
      </c>
      <c r="C120" s="9" t="n">
        <v>3810.75</v>
      </c>
      <c r="D120" s="9" t="n">
        <v>2839.95</v>
      </c>
      <c r="E120" s="8" t="n">
        <v>2498.4</v>
      </c>
      <c r="F120" s="9" t="n">
        <v>1416.05</v>
      </c>
      <c r="G120" s="11" t="n">
        <v>1460</v>
      </c>
      <c r="H120" s="12" t="n">
        <v>0.488590958</v>
      </c>
      <c r="I120" s="12"/>
      <c r="J120" s="12"/>
      <c r="K120" s="8" t="n">
        <f aca="false">((B120-B119)/B119)*100</f>
        <v>-1.34401303285365</v>
      </c>
      <c r="L120" s="8" t="n">
        <f aca="false">((C120-C119)/C119)*100</f>
        <v>0.620503003498581</v>
      </c>
      <c r="M120" s="8" t="n">
        <f aca="false">((D120-D119)/D119)*100</f>
        <v>-1.08839509612706</v>
      </c>
      <c r="N120" s="8" t="n">
        <f aca="false">((E120-E119)/E119)*100</f>
        <v>-1.62811300324835</v>
      </c>
      <c r="O120" s="8" t="n">
        <f aca="false">((F120-F119)/F119)*100</f>
        <v>2.52687977410128</v>
      </c>
      <c r="P120" s="8" t="n">
        <f aca="false">((G120-G119)/G119)*100</f>
        <v>-0.181177998837732</v>
      </c>
      <c r="Q120" s="8" t="n">
        <f aca="false">((H120-H119)/H119)*100</f>
        <v>-0.893594854783783</v>
      </c>
      <c r="S120" s="9"/>
      <c r="V120" s="9" t="n">
        <f aca="false">K114-$V$4</f>
        <v>0.44612980534799</v>
      </c>
      <c r="W120" s="9" t="n">
        <f aca="false">L114-$W$4</f>
        <v>-0.56849856141655</v>
      </c>
      <c r="X120" s="9" t="n">
        <f aca="false">M114-$X$4</f>
        <v>-1.94156689504241</v>
      </c>
      <c r="Y120" s="9" t="n">
        <f aca="false">N114-$Y$4</f>
        <v>-0.096434152929439</v>
      </c>
      <c r="Z120" s="9" t="n">
        <f aca="false">O114-$Z$4</f>
        <v>0.589200801176922</v>
      </c>
      <c r="AA120" s="9" t="n">
        <f aca="false">P114-$AA$4</f>
        <v>0.129175038852239</v>
      </c>
      <c r="AB120" s="9" t="n">
        <f aca="false">Q114-$AB$4</f>
        <v>-3.99658928211155</v>
      </c>
    </row>
    <row r="121" customFormat="false" ht="15.75" hidden="false" customHeight="false" outlineLevel="0" collapsed="false">
      <c r="A121" s="7" t="n">
        <v>45467</v>
      </c>
      <c r="B121" s="8" t="n">
        <v>2883</v>
      </c>
      <c r="C121" s="9" t="n">
        <v>3816.8</v>
      </c>
      <c r="D121" s="9" t="n">
        <v>2915.8</v>
      </c>
      <c r="E121" s="8" t="n">
        <v>2530.05</v>
      </c>
      <c r="F121" s="9" t="n">
        <v>1419.8</v>
      </c>
      <c r="G121" s="11" t="n">
        <v>1458.35</v>
      </c>
      <c r="H121" s="12" t="n">
        <v>0.478959493</v>
      </c>
      <c r="I121" s="12"/>
      <c r="J121" s="12"/>
      <c r="K121" s="8" t="n">
        <f aca="false">((B121-B120)/B120)*100</f>
        <v>-0.818769781202703</v>
      </c>
      <c r="L121" s="8" t="n">
        <f aca="false">((C121-C120)/C120)*100</f>
        <v>0.158761398674806</v>
      </c>
      <c r="M121" s="8" t="n">
        <f aca="false">((D121-D120)/D120)*100</f>
        <v>2.6708216693956</v>
      </c>
      <c r="N121" s="8" t="n">
        <f aca="false">((E121-E120)/E120)*100</f>
        <v>1.26681075888569</v>
      </c>
      <c r="O121" s="8" t="n">
        <f aca="false">((F121-F120)/F120)*100</f>
        <v>0.264821157445006</v>
      </c>
      <c r="P121" s="8" t="n">
        <f aca="false">((G121-G120)/G120)*100</f>
        <v>-0.113013698630143</v>
      </c>
      <c r="Q121" s="8" t="n">
        <f aca="false">((H121-H120)/H120)*100</f>
        <v>-1.97127368861378</v>
      </c>
      <c r="S121" s="9"/>
      <c r="V121" s="9" t="n">
        <f aca="false">K115-$V$4</f>
        <v>0.104233407461104</v>
      </c>
      <c r="W121" s="9" t="n">
        <f aca="false">L115-$W$4</f>
        <v>1.17595709583801</v>
      </c>
      <c r="X121" s="9" t="n">
        <f aca="false">M115-$X$4</f>
        <v>2.41126836255218</v>
      </c>
      <c r="Y121" s="9" t="n">
        <f aca="false">N115-$Y$4</f>
        <v>0.655999289514264</v>
      </c>
      <c r="Z121" s="9" t="n">
        <f aca="false">O115-$Z$4</f>
        <v>-1.07147121796583</v>
      </c>
      <c r="AA121" s="9" t="n">
        <f aca="false">P115-$AA$4</f>
        <v>-1.583353349964</v>
      </c>
      <c r="AB121" s="9" t="n">
        <f aca="false">Q115-$AB$4</f>
        <v>1.64651032899152</v>
      </c>
    </row>
    <row r="122" customFormat="false" ht="15.75" hidden="false" customHeight="false" outlineLevel="0" collapsed="false">
      <c r="A122" s="7" t="n">
        <v>45468</v>
      </c>
      <c r="B122" s="8" t="n">
        <v>2908.5</v>
      </c>
      <c r="C122" s="9" t="n">
        <v>3838.45</v>
      </c>
      <c r="D122" s="9" t="n">
        <v>2909.4</v>
      </c>
      <c r="E122" s="8" t="n">
        <v>2515.45</v>
      </c>
      <c r="F122" s="9" t="n">
        <v>1414.95</v>
      </c>
      <c r="G122" s="11" t="n">
        <v>1461</v>
      </c>
      <c r="H122" s="12" t="n">
        <v>0.474309643</v>
      </c>
      <c r="I122" s="12"/>
      <c r="J122" s="12"/>
      <c r="K122" s="8" t="n">
        <f aca="false">((B122-B121)/B121)*100</f>
        <v>0.884495317377732</v>
      </c>
      <c r="L122" s="8" t="n">
        <f aca="false">((C122-C121)/C121)*100</f>
        <v>0.567229092433443</v>
      </c>
      <c r="M122" s="8" t="n">
        <f aca="false">((D122-D121)/D121)*100</f>
        <v>-0.219493792441186</v>
      </c>
      <c r="N122" s="8" t="n">
        <f aca="false">((E122-E121)/E121)*100</f>
        <v>-0.577063694393406</v>
      </c>
      <c r="O122" s="8" t="n">
        <f aca="false">((F122-F121)/F121)*100</f>
        <v>-0.341597408085639</v>
      </c>
      <c r="P122" s="8" t="n">
        <f aca="false">((G122-G121)/G121)*100</f>
        <v>0.181712209003332</v>
      </c>
      <c r="Q122" s="8" t="n">
        <f aca="false">((H122-H121)/H121)*100</f>
        <v>-0.970823225754503</v>
      </c>
      <c r="S122" s="9"/>
      <c r="V122" s="9" t="n">
        <f aca="false">K116-$V$4</f>
        <v>0.899742932949673</v>
      </c>
      <c r="W122" s="9" t="n">
        <f aca="false">L116-$W$4</f>
        <v>-1.22633041301067</v>
      </c>
      <c r="X122" s="9" t="n">
        <f aca="false">M116-$X$4</f>
        <v>2.08899764505941</v>
      </c>
      <c r="Y122" s="9" t="n">
        <f aca="false">N116-$Y$4</f>
        <v>-0.276000051552441</v>
      </c>
      <c r="Z122" s="9" t="n">
        <f aca="false">O116-$Z$4</f>
        <v>-0.0762932658429619</v>
      </c>
      <c r="AA122" s="9" t="n">
        <f aca="false">P116-$AA$4</f>
        <v>0.52544267960005</v>
      </c>
      <c r="AB122" s="9" t="n">
        <f aca="false">Q116-$AB$4</f>
        <v>-3.71270338765315</v>
      </c>
    </row>
    <row r="123" customFormat="false" ht="15.75" hidden="false" customHeight="false" outlineLevel="0" collapsed="false">
      <c r="A123" s="7" t="n">
        <v>45469</v>
      </c>
      <c r="B123" s="8" t="n">
        <v>3027.4</v>
      </c>
      <c r="C123" s="9" t="n">
        <v>3855.85</v>
      </c>
      <c r="D123" s="9" t="n">
        <v>2851.5</v>
      </c>
      <c r="E123" s="8" t="n">
        <v>2534.25</v>
      </c>
      <c r="F123" s="9" t="n">
        <v>1459.5</v>
      </c>
      <c r="G123" s="11" t="n">
        <v>1451.65</v>
      </c>
      <c r="H123" s="12" t="n">
        <v>0.475526762</v>
      </c>
      <c r="I123" s="12"/>
      <c r="J123" s="12"/>
      <c r="K123" s="8" t="n">
        <f aca="false">((B123-B122)/B122)*100</f>
        <v>4.0880178786316</v>
      </c>
      <c r="L123" s="8" t="n">
        <f aca="false">((C123-C122)/C122)*100</f>
        <v>0.453307975875681</v>
      </c>
      <c r="M123" s="8" t="n">
        <f aca="false">((D123-D122)/D122)*100</f>
        <v>-1.99010105176325</v>
      </c>
      <c r="N123" s="8" t="n">
        <f aca="false">((E123-E122)/E122)*100</f>
        <v>0.74738118428115</v>
      </c>
      <c r="O123" s="8" t="n">
        <f aca="false">((F123-F122)/F122)*100</f>
        <v>3.14852114915721</v>
      </c>
      <c r="P123" s="8" t="n">
        <f aca="false">((G123-G122)/G122)*100</f>
        <v>-0.639972621492122</v>
      </c>
      <c r="Q123" s="8" t="n">
        <f aca="false">((H123-H122)/H122)*100</f>
        <v>0.256608529462259</v>
      </c>
      <c r="S123" s="9"/>
      <c r="V123" s="9" t="n">
        <f aca="false">K117-$V$4</f>
        <v>0.247222213114093</v>
      </c>
      <c r="W123" s="9" t="n">
        <f aca="false">L117-$W$4</f>
        <v>-0.479941295508312</v>
      </c>
      <c r="X123" s="9" t="n">
        <f aca="false">M117-$X$4</f>
        <v>0.888288467654046</v>
      </c>
      <c r="Y123" s="9" t="n">
        <f aca="false">N117-$Y$4</f>
        <v>0.395247503603517</v>
      </c>
      <c r="Z123" s="9" t="n">
        <f aca="false">O117-$Z$4</f>
        <v>-0.125467255005415</v>
      </c>
      <c r="AA123" s="9" t="n">
        <f aca="false">P117-$AA$4</f>
        <v>-0.450258170360904</v>
      </c>
      <c r="AB123" s="9" t="n">
        <f aca="false">Q117-$AB$4</f>
        <v>5.17938351365997</v>
      </c>
    </row>
    <row r="124" customFormat="false" ht="15.75" hidden="false" customHeight="false" outlineLevel="0" collapsed="false">
      <c r="A124" s="7" t="n">
        <v>45470</v>
      </c>
      <c r="B124" s="8" t="n">
        <v>3061.1</v>
      </c>
      <c r="C124" s="9" t="n">
        <v>3934.15</v>
      </c>
      <c r="D124" s="9" t="n">
        <v>2888.95</v>
      </c>
      <c r="E124" s="8" t="n">
        <v>2533.75</v>
      </c>
      <c r="F124" s="9" t="n">
        <v>1475.8</v>
      </c>
      <c r="G124" s="11" t="n">
        <v>1454.35</v>
      </c>
      <c r="H124" s="12" t="n">
        <v>0.469418274</v>
      </c>
      <c r="I124" s="12"/>
      <c r="J124" s="12"/>
      <c r="K124" s="8" t="n">
        <f aca="false">((B124-B123)/B123)*100</f>
        <v>1.11316641342405</v>
      </c>
      <c r="L124" s="8" t="n">
        <f aca="false">((C124-C123)/C123)*100</f>
        <v>2.03068065407109</v>
      </c>
      <c r="M124" s="8" t="n">
        <f aca="false">((D124-D123)/D123)*100</f>
        <v>1.31334385411186</v>
      </c>
      <c r="N124" s="8" t="n">
        <f aca="false">((E124-E123)/E123)*100</f>
        <v>-0.0197297030679688</v>
      </c>
      <c r="O124" s="8" t="n">
        <f aca="false">((F124-F123)/F123)*100</f>
        <v>1.11682082905104</v>
      </c>
      <c r="P124" s="8" t="n">
        <f aca="false">((G124-G123)/G123)*100</f>
        <v>0.185995246788125</v>
      </c>
      <c r="Q124" s="8" t="n">
        <f aca="false">((H124-H123)/H123)*100</f>
        <v>-1.28457291747546</v>
      </c>
      <c r="S124" s="9"/>
      <c r="V124" s="9" t="n">
        <f aca="false">K118-$V$4</f>
        <v>-1.47716089747906</v>
      </c>
      <c r="W124" s="9" t="n">
        <f aca="false">L118-$W$4</f>
        <v>-0.388855179236413</v>
      </c>
      <c r="X124" s="9" t="n">
        <f aca="false">M118-$X$4</f>
        <v>-1.19580085581362</v>
      </c>
      <c r="Y124" s="9" t="n">
        <f aca="false">N118-$Y$4</f>
        <v>-0.866314124074426</v>
      </c>
      <c r="Z124" s="9" t="n">
        <f aca="false">O118-$Z$4</f>
        <v>-2.71241249030908</v>
      </c>
      <c r="AA124" s="9" t="n">
        <f aca="false">P118-$AA$4</f>
        <v>-0.519906579399358</v>
      </c>
      <c r="AB124" s="9" t="n">
        <f aca="false">Q118-$AB$4</f>
        <v>-3.40395554952362</v>
      </c>
    </row>
    <row r="125" customFormat="false" ht="15.75" hidden="false" customHeight="false" outlineLevel="0" collapsed="false">
      <c r="A125" s="7" t="n">
        <v>45471</v>
      </c>
      <c r="B125" s="8" t="n">
        <v>3131.85</v>
      </c>
      <c r="C125" s="9" t="n">
        <v>3904.15</v>
      </c>
      <c r="D125" s="9" t="n">
        <v>2866.65</v>
      </c>
      <c r="E125" s="8" t="n">
        <v>2551.65</v>
      </c>
      <c r="F125" s="9" t="n">
        <v>1444.05</v>
      </c>
      <c r="G125" s="11" t="n">
        <v>1464.5</v>
      </c>
      <c r="H125" s="12" t="n">
        <v>0.474568998</v>
      </c>
      <c r="I125" s="12"/>
      <c r="J125" s="12"/>
      <c r="K125" s="8" t="n">
        <f aca="false">((B125-B124)/B124)*100</f>
        <v>2.31126065793342</v>
      </c>
      <c r="L125" s="8" t="n">
        <f aca="false">((C125-C124)/C124)*100</f>
        <v>-0.762553537612953</v>
      </c>
      <c r="M125" s="8" t="n">
        <f aca="false">((D125-D124)/D124)*100</f>
        <v>-0.771906748126473</v>
      </c>
      <c r="N125" s="8" t="n">
        <f aca="false">((E125-E124)/E124)*100</f>
        <v>0.706462752836708</v>
      </c>
      <c r="O125" s="8" t="n">
        <f aca="false">((F125-F124)/F124)*100</f>
        <v>-2.15137552513891</v>
      </c>
      <c r="P125" s="8" t="n">
        <f aca="false">((G125-G124)/G124)*100</f>
        <v>0.697906281156537</v>
      </c>
      <c r="Q125" s="8" t="n">
        <f aca="false">((H125-H124)/H124)*100</f>
        <v>1.09725681450569</v>
      </c>
      <c r="S125" s="9"/>
      <c r="V125" s="9" t="n">
        <f aca="false">K119-$V$4</f>
        <v>1.01633624044303</v>
      </c>
      <c r="W125" s="9" t="n">
        <f aca="false">L119-$W$4</f>
        <v>-0.417712416991007</v>
      </c>
      <c r="X125" s="9" t="n">
        <f aca="false">M119-$X$4</f>
        <v>-2.38419293933902</v>
      </c>
      <c r="Y125" s="9" t="n">
        <f aca="false">N119-$Y$4</f>
        <v>0.628845000770545</v>
      </c>
      <c r="Z125" s="9" t="n">
        <f aca="false">O119-$Z$4</f>
        <v>-0.996417276303889</v>
      </c>
      <c r="AA125" s="9" t="n">
        <f aca="false">P119-$AA$4</f>
        <v>-0.817747648235997</v>
      </c>
      <c r="AB125" s="9" t="n">
        <f aca="false">Q119-$AB$4</f>
        <v>-0.209274811426058</v>
      </c>
    </row>
    <row r="126" customFormat="false" ht="15.75" hidden="false" customHeight="false" outlineLevel="0" collapsed="false">
      <c r="A126" s="7" t="n">
        <v>45474</v>
      </c>
      <c r="B126" s="8" t="n">
        <v>3120.35</v>
      </c>
      <c r="C126" s="9" t="n">
        <v>3978.2</v>
      </c>
      <c r="D126" s="9" t="n">
        <v>2875.85</v>
      </c>
      <c r="E126" s="8" t="n">
        <v>2568.1</v>
      </c>
      <c r="F126" s="9" t="n">
        <v>1454</v>
      </c>
      <c r="G126" s="11" t="n">
        <v>1470.5</v>
      </c>
      <c r="H126" s="12" t="n">
        <v>0.475446751</v>
      </c>
      <c r="I126" s="12"/>
      <c r="J126" s="12"/>
      <c r="K126" s="8" t="n">
        <f aca="false">((B126-B125)/B125)*100</f>
        <v>-0.367195108322557</v>
      </c>
      <c r="L126" s="8" t="n">
        <f aca="false">((C126-C125)/C125)*100</f>
        <v>1.89669966574029</v>
      </c>
      <c r="M126" s="8" t="n">
        <f aca="false">((D126-D125)/D125)*100</f>
        <v>0.320932098442427</v>
      </c>
      <c r="N126" s="8" t="n">
        <f aca="false">((E126-E125)/E125)*100</f>
        <v>0.644680892755661</v>
      </c>
      <c r="O126" s="8" t="n">
        <f aca="false">((F126-F125)/F125)*100</f>
        <v>0.689034313216305</v>
      </c>
      <c r="P126" s="8" t="n">
        <f aca="false">((G126-G125)/G125)*100</f>
        <v>0.409696142027996</v>
      </c>
      <c r="Q126" s="8" t="n">
        <f aca="false">((H126-H125)/H125)*100</f>
        <v>0.184957931027762</v>
      </c>
      <c r="S126" s="9"/>
      <c r="V126" s="9" t="n">
        <f aca="false">K120-$V$4</f>
        <v>-1.32863661689986</v>
      </c>
      <c r="W126" s="9" t="n">
        <f aca="false">L120-$W$4</f>
        <v>0.582883702745041</v>
      </c>
      <c r="X126" s="9" t="n">
        <f aca="false">M120-$X$4</f>
        <v>-1.33716870591616</v>
      </c>
      <c r="Y126" s="9" t="n">
        <f aca="false">N120-$Y$4</f>
        <v>-1.54161672875004</v>
      </c>
      <c r="Z126" s="9" t="n">
        <f aca="false">O120-$Z$4</f>
        <v>2.33485794434458</v>
      </c>
      <c r="AA126" s="9" t="n">
        <f aca="false">P120-$AA$4</f>
        <v>-0.161637511480516</v>
      </c>
      <c r="AB126" s="9" t="n">
        <f aca="false">Q120-$AB$4</f>
        <v>-1.57285257118693</v>
      </c>
    </row>
    <row r="127" customFormat="false" ht="15.75" hidden="false" customHeight="false" outlineLevel="0" collapsed="false">
      <c r="A127" s="7" t="n">
        <v>45475</v>
      </c>
      <c r="B127" s="8" t="n">
        <v>3132.3</v>
      </c>
      <c r="C127" s="9" t="n">
        <v>4017.4</v>
      </c>
      <c r="D127" s="9" t="n">
        <v>2865.15</v>
      </c>
      <c r="E127" s="8" t="n">
        <v>2544.45</v>
      </c>
      <c r="F127" s="9" t="n">
        <v>1418.95</v>
      </c>
      <c r="G127" s="11" t="n">
        <v>1454.35</v>
      </c>
      <c r="H127" s="12" t="n">
        <v>0.476417897</v>
      </c>
      <c r="I127" s="12"/>
      <c r="J127" s="12"/>
      <c r="K127" s="8" t="n">
        <f aca="false">((B127-B126)/B126)*100</f>
        <v>0.382969859150425</v>
      </c>
      <c r="L127" s="8" t="n">
        <f aca="false">((C127-C126)/C126)*100</f>
        <v>0.985370267960391</v>
      </c>
      <c r="M127" s="8" t="n">
        <f aca="false">((D127-D126)/D126)*100</f>
        <v>-0.372063911539191</v>
      </c>
      <c r="N127" s="8" t="n">
        <f aca="false">((E127-E126)/E126)*100</f>
        <v>-0.920914294614699</v>
      </c>
      <c r="O127" s="8" t="n">
        <f aca="false">((F127-F126)/F126)*100</f>
        <v>-2.41059147180192</v>
      </c>
      <c r="P127" s="8" t="n">
        <f aca="false">((G127-G126)/G126)*100</f>
        <v>-1.09826589595376</v>
      </c>
      <c r="Q127" s="8" t="n">
        <f aca="false">((H127-H126)/H126)*100</f>
        <v>0.204259677441771</v>
      </c>
      <c r="S127" s="9"/>
      <c r="V127" s="9" t="n">
        <f aca="false">K121-$V$4</f>
        <v>-0.803393365248919</v>
      </c>
      <c r="W127" s="9" t="n">
        <f aca="false">L121-$W$4</f>
        <v>0.121142097921267</v>
      </c>
      <c r="X127" s="9" t="n">
        <f aca="false">M121-$X$4</f>
        <v>2.42204805960649</v>
      </c>
      <c r="Y127" s="9" t="n">
        <f aca="false">N121-$Y$4</f>
        <v>1.353307033384</v>
      </c>
      <c r="Z127" s="9" t="n">
        <f aca="false">O121-$Z$4</f>
        <v>0.0727993276883076</v>
      </c>
      <c r="AA127" s="9" t="n">
        <f aca="false">P121-$AA$4</f>
        <v>-0.0934732112729265</v>
      </c>
      <c r="AB127" s="9" t="n">
        <f aca="false">Q121-$AB$4</f>
        <v>-2.65053140501693</v>
      </c>
    </row>
    <row r="128" customFormat="false" ht="15.75" hidden="false" customHeight="false" outlineLevel="0" collapsed="false">
      <c r="A128" s="7" t="n">
        <v>45476</v>
      </c>
      <c r="B128" s="8" t="n">
        <v>3105.3</v>
      </c>
      <c r="C128" s="9" t="n">
        <v>3965.25</v>
      </c>
      <c r="D128" s="9" t="n">
        <v>2877.95</v>
      </c>
      <c r="E128" s="8" t="n">
        <v>2551.5</v>
      </c>
      <c r="F128" s="9" t="n">
        <v>1419.85</v>
      </c>
      <c r="G128" s="11" t="n">
        <v>1460</v>
      </c>
      <c r="H128" s="12" t="n">
        <v>0.484408097</v>
      </c>
      <c r="I128" s="12"/>
      <c r="J128" s="12"/>
      <c r="K128" s="8" t="n">
        <f aca="false">((B128-B127)/B127)*100</f>
        <v>-0.861986399770137</v>
      </c>
      <c r="L128" s="8" t="n">
        <f aca="false">((C128-C127)/C127)*100</f>
        <v>-1.29810325085877</v>
      </c>
      <c r="M128" s="8" t="n">
        <f aca="false">((D128-D127)/D127)*100</f>
        <v>0.446747988761486</v>
      </c>
      <c r="N128" s="8" t="n">
        <f aca="false">((E128-E127)/E127)*100</f>
        <v>0.277073630843608</v>
      </c>
      <c r="O128" s="8" t="n">
        <f aca="false">((F128-F127)/F127)*100</f>
        <v>0.0634271820712403</v>
      </c>
      <c r="P128" s="8" t="n">
        <f aca="false">((G128-G127)/G127)*100</f>
        <v>0.388489703303888</v>
      </c>
      <c r="Q128" s="8" t="n">
        <f aca="false">((H128-H127)/H127)*100</f>
        <v>1.67714102478396</v>
      </c>
      <c r="S128" s="9"/>
      <c r="V128" s="9" t="n">
        <f aca="false">K122-$V$4</f>
        <v>0.899871733331516</v>
      </c>
      <c r="W128" s="9" t="n">
        <f aca="false">L122-$W$4</f>
        <v>0.529609791679903</v>
      </c>
      <c r="X128" s="9" t="n">
        <f aca="false">M122-$X$4</f>
        <v>-0.468267402230293</v>
      </c>
      <c r="Y128" s="9" t="n">
        <f aca="false">N122-$Y$4</f>
        <v>-0.490567419895097</v>
      </c>
      <c r="Z128" s="9" t="n">
        <f aca="false">O122-$Z$4</f>
        <v>-0.533619237842337</v>
      </c>
      <c r="AA128" s="9" t="n">
        <f aca="false">P122-$AA$4</f>
        <v>0.201252696360549</v>
      </c>
      <c r="AB128" s="9" t="n">
        <f aca="false">Q122-$AB$4</f>
        <v>-1.65008094215765</v>
      </c>
    </row>
    <row r="129" customFormat="false" ht="15.75" hidden="false" customHeight="false" outlineLevel="0" collapsed="false">
      <c r="A129" s="7" t="n">
        <v>45477</v>
      </c>
      <c r="B129" s="8" t="n">
        <v>3107.9</v>
      </c>
      <c r="C129" s="9" t="n">
        <v>4020.95</v>
      </c>
      <c r="D129" s="9" t="n">
        <v>2902.8</v>
      </c>
      <c r="E129" s="8" t="n">
        <v>2545.15</v>
      </c>
      <c r="F129" s="9" t="n">
        <v>1423.05</v>
      </c>
      <c r="G129" s="11" t="n">
        <v>1465.65</v>
      </c>
      <c r="H129" s="12" t="n">
        <v>0.466831288</v>
      </c>
      <c r="I129" s="12"/>
      <c r="J129" s="12"/>
      <c r="K129" s="8" t="n">
        <f aca="false">((B129-B128)/B128)*100</f>
        <v>0.0837278201784017</v>
      </c>
      <c r="L129" s="8" t="n">
        <f aca="false">((C129-C128)/C128)*100</f>
        <v>1.40470336044385</v>
      </c>
      <c r="M129" s="8" t="n">
        <f aca="false">((D129-D128)/D128)*100</f>
        <v>0.863461839156357</v>
      </c>
      <c r="N129" s="8" t="n">
        <f aca="false">((E129-E128)/E128)*100</f>
        <v>-0.248873211836171</v>
      </c>
      <c r="O129" s="8" t="n">
        <f aca="false">((F129-F128)/F128)*100</f>
        <v>0.225375919991552</v>
      </c>
      <c r="P129" s="8" t="n">
        <f aca="false">((G129-G128)/G128)*100</f>
        <v>0.386986301369869</v>
      </c>
      <c r="Q129" s="8" t="n">
        <f aca="false">((H129-H128)/H128)*100</f>
        <v>-3.62851263404872</v>
      </c>
      <c r="S129" s="9"/>
      <c r="V129" s="9" t="n">
        <f aca="false">K123-$V$4</f>
        <v>4.10339429458538</v>
      </c>
      <c r="W129" s="9" t="n">
        <f aca="false">L123-$W$4</f>
        <v>0.415688675122142</v>
      </c>
      <c r="X129" s="9" t="n">
        <f aca="false">M123-$X$4</f>
        <v>-2.23887466155236</v>
      </c>
      <c r="Y129" s="9" t="n">
        <f aca="false">N123-$Y$4</f>
        <v>0.833877458779459</v>
      </c>
      <c r="Z129" s="9" t="n">
        <f aca="false">O123-$Z$4</f>
        <v>2.95649931940051</v>
      </c>
      <c r="AA129" s="9" t="n">
        <f aca="false">P123-$AA$4</f>
        <v>-0.620432134134906</v>
      </c>
      <c r="AB129" s="9" t="n">
        <f aca="false">Q123-$AB$4</f>
        <v>-0.42264918694089</v>
      </c>
    </row>
    <row r="130" customFormat="false" ht="15.75" hidden="false" customHeight="false" outlineLevel="0" collapsed="false">
      <c r="A130" s="7" t="n">
        <v>45478</v>
      </c>
      <c r="B130" s="8" t="n">
        <v>3180.05</v>
      </c>
      <c r="C130" s="9" t="n">
        <v>4011.8</v>
      </c>
      <c r="D130" s="9" t="n">
        <v>2880.6</v>
      </c>
      <c r="E130" s="8" t="n">
        <v>2574.15</v>
      </c>
      <c r="F130" s="9" t="n">
        <v>1429.7</v>
      </c>
      <c r="G130" s="11" t="n">
        <v>1465.65</v>
      </c>
      <c r="H130" s="12" t="n">
        <v>0.433716365</v>
      </c>
      <c r="I130" s="12"/>
      <c r="J130" s="12"/>
      <c r="K130" s="8" t="n">
        <f aca="false">((B130-B129)/B129)*100</f>
        <v>2.32150326587085</v>
      </c>
      <c r="L130" s="8" t="n">
        <f aca="false">((C130-C129)/C129)*100</f>
        <v>-0.227558164115436</v>
      </c>
      <c r="M130" s="8" t="n">
        <f aca="false">((D130-D129)/D129)*100</f>
        <v>-0.76477883422903</v>
      </c>
      <c r="N130" s="8" t="n">
        <f aca="false">((E130-E129)/E129)*100</f>
        <v>1.13942203799383</v>
      </c>
      <c r="O130" s="8" t="n">
        <f aca="false">((F130-F129)/F129)*100</f>
        <v>0.467306138224243</v>
      </c>
      <c r="P130" s="8" t="n">
        <f aca="false">((G130-G129)/G129)*100</f>
        <v>0</v>
      </c>
      <c r="Q130" s="8" t="n">
        <f aca="false">((H130-H129)/H129)*100</f>
        <v>-7.0935526069538</v>
      </c>
      <c r="S130" s="9"/>
      <c r="V130" s="9" t="n">
        <f aca="false">K124-$V$4</f>
        <v>1.12854282937784</v>
      </c>
      <c r="W130" s="9" t="n">
        <f aca="false">L124-$W$4</f>
        <v>1.99306135331755</v>
      </c>
      <c r="X130" s="9" t="n">
        <f aca="false">M124-$X$4</f>
        <v>1.06457024432276</v>
      </c>
      <c r="Y130" s="9" t="n">
        <f aca="false">N124-$Y$4</f>
        <v>0.06676657143034</v>
      </c>
      <c r="Z130" s="9" t="n">
        <f aca="false">O124-$Z$4</f>
        <v>0.924798999294344</v>
      </c>
      <c r="AA130" s="9" t="n">
        <f aca="false">P124-$AA$4</f>
        <v>0.205535734145342</v>
      </c>
      <c r="AB130" s="9" t="n">
        <f aca="false">Q124-$AB$4</f>
        <v>-1.9638306338786</v>
      </c>
    </row>
    <row r="131" customFormat="false" ht="15.75" hidden="false" customHeight="false" outlineLevel="0" collapsed="false">
      <c r="A131" s="7" t="n">
        <v>45481</v>
      </c>
      <c r="B131" s="8" t="n">
        <v>3202.1</v>
      </c>
      <c r="C131" s="9" t="n">
        <v>3993.2</v>
      </c>
      <c r="D131" s="9" t="n">
        <v>2851.35</v>
      </c>
      <c r="E131" s="8" t="n">
        <v>2603.4</v>
      </c>
      <c r="F131" s="9" t="n">
        <v>1435.15</v>
      </c>
      <c r="G131" s="11" t="n">
        <v>1462.65</v>
      </c>
      <c r="H131" s="12" t="n">
        <v>0.419178918</v>
      </c>
      <c r="I131" s="12"/>
      <c r="J131" s="12"/>
      <c r="K131" s="8" t="n">
        <f aca="false">((B131-B130)/B130)*100</f>
        <v>0.693385324130115</v>
      </c>
      <c r="L131" s="8" t="n">
        <f aca="false">((C131-C130)/C130)*100</f>
        <v>-0.463632284759967</v>
      </c>
      <c r="M131" s="8" t="n">
        <f aca="false">((D131-D130)/D130)*100</f>
        <v>-1.0154134555301</v>
      </c>
      <c r="N131" s="8" t="n">
        <f aca="false">((E131-E130)/E130)*100</f>
        <v>1.13629741856535</v>
      </c>
      <c r="O131" s="8" t="n">
        <f aca="false">((F131-F130)/F130)*100</f>
        <v>0.381198852906207</v>
      </c>
      <c r="P131" s="8" t="n">
        <f aca="false">((G131-G130)/G130)*100</f>
        <v>-0.204687340088016</v>
      </c>
      <c r="Q131" s="8" t="n">
        <f aca="false">((H131-H130)/H130)*100</f>
        <v>-3.35183271214587</v>
      </c>
      <c r="S131" s="9"/>
      <c r="V131" s="9" t="n">
        <f aca="false">K125-$V$4</f>
        <v>2.32663707388721</v>
      </c>
      <c r="W131" s="9" t="n">
        <f aca="false">L125-$W$4</f>
        <v>-0.800172838366493</v>
      </c>
      <c r="X131" s="9" t="n">
        <f aca="false">M125-$X$4</f>
        <v>-1.02068035791558</v>
      </c>
      <c r="Y131" s="9" t="n">
        <f aca="false">N125-$Y$4</f>
        <v>0.792959027335017</v>
      </c>
      <c r="Z131" s="9" t="n">
        <f aca="false">O125-$Z$4</f>
        <v>-2.34339735489561</v>
      </c>
      <c r="AA131" s="9" t="n">
        <f aca="false">P125-$AA$4</f>
        <v>0.717446768513753</v>
      </c>
      <c r="AB131" s="9" t="n">
        <f aca="false">Q125-$AB$4</f>
        <v>0.417999098102542</v>
      </c>
    </row>
    <row r="132" customFormat="false" ht="15.75" hidden="false" customHeight="false" outlineLevel="0" collapsed="false">
      <c r="A132" s="7" t="n">
        <v>45482</v>
      </c>
      <c r="B132" s="8" t="n">
        <v>3180.15</v>
      </c>
      <c r="C132" s="9" t="n">
        <v>3985.5</v>
      </c>
      <c r="D132" s="9" t="n">
        <v>2925.5</v>
      </c>
      <c r="E132" s="8" t="n">
        <v>2633.1</v>
      </c>
      <c r="F132" s="9" t="n">
        <v>1435.55</v>
      </c>
      <c r="G132" s="11" t="n">
        <v>1459</v>
      </c>
      <c r="H132" s="12" t="n">
        <v>0.431464892</v>
      </c>
      <c r="I132" s="12"/>
      <c r="J132" s="12"/>
      <c r="K132" s="8" t="n">
        <f aca="false">((B132-B131)/B131)*100</f>
        <v>-0.685487648730515</v>
      </c>
      <c r="L132" s="8" t="n">
        <f aca="false">((C132-C131)/C131)*100</f>
        <v>-0.192827807272358</v>
      </c>
      <c r="M132" s="8" t="n">
        <f aca="false">((D132-D131)/D131)*100</f>
        <v>2.60052255948937</v>
      </c>
      <c r="N132" s="8" t="n">
        <f aca="false">((E132-E131)/E131)*100</f>
        <v>1.14081585618805</v>
      </c>
      <c r="O132" s="8" t="n">
        <f aca="false">((F132-F131)/F131)*100</f>
        <v>0.0278716510469194</v>
      </c>
      <c r="P132" s="8" t="n">
        <f aca="false">((G132-G131)/G131)*100</f>
        <v>-0.249547055002912</v>
      </c>
      <c r="Q132" s="8" t="n">
        <f aca="false">((H132-H131)/H131)*100</f>
        <v>2.9309618094868</v>
      </c>
      <c r="S132" s="9"/>
      <c r="V132" s="9" t="n">
        <f aca="false">K126-$V$4</f>
        <v>-0.351818692368773</v>
      </c>
      <c r="W132" s="9" t="n">
        <f aca="false">L126-$W$4</f>
        <v>1.85908036498676</v>
      </c>
      <c r="X132" s="9" t="n">
        <f aca="false">M126-$X$4</f>
        <v>0.0721584886533192</v>
      </c>
      <c r="Y132" s="9" t="n">
        <f aca="false">N126-$Y$4</f>
        <v>0.73117716725397</v>
      </c>
      <c r="Z132" s="9" t="n">
        <f aca="false">O126-$Z$4</f>
        <v>0.497012483459607</v>
      </c>
      <c r="AA132" s="9" t="n">
        <f aca="false">P126-$AA$4</f>
        <v>0.429236629385213</v>
      </c>
      <c r="AB132" s="9" t="n">
        <f aca="false">Q126-$AB$4</f>
        <v>-0.494299785375387</v>
      </c>
    </row>
    <row r="133" customFormat="false" ht="15.75" hidden="false" customHeight="false" outlineLevel="0" collapsed="false">
      <c r="A133" s="7" t="n">
        <v>45483</v>
      </c>
      <c r="B133" s="8" t="n">
        <v>3166.9</v>
      </c>
      <c r="C133" s="9" t="n">
        <v>3909.15</v>
      </c>
      <c r="D133" s="9" t="n">
        <v>2732</v>
      </c>
      <c r="E133" s="8" t="n">
        <v>2616.45</v>
      </c>
      <c r="F133" s="9" t="n">
        <v>1445.05</v>
      </c>
      <c r="G133" s="11" t="n">
        <v>1450</v>
      </c>
      <c r="H133" s="12" t="n">
        <v>0.435768264</v>
      </c>
      <c r="I133" s="12"/>
      <c r="J133" s="12"/>
      <c r="K133" s="8" t="n">
        <f aca="false">((B133-B132)/B132)*100</f>
        <v>-0.416647013505652</v>
      </c>
      <c r="L133" s="8" t="n">
        <f aca="false">((C133-C132)/C132)*100</f>
        <v>-1.91569439217162</v>
      </c>
      <c r="M133" s="8" t="n">
        <f aca="false">((D133-D132)/D132)*100</f>
        <v>-6.61425397367971</v>
      </c>
      <c r="N133" s="8" t="n">
        <f aca="false">((E133-E132)/E132)*100</f>
        <v>-0.632334510652846</v>
      </c>
      <c r="O133" s="8" t="n">
        <f aca="false">((F133-F132)/F132)*100</f>
        <v>0.661767266901188</v>
      </c>
      <c r="P133" s="8" t="n">
        <f aca="false">((G133-G132)/G132)*100</f>
        <v>-0.616860863605209</v>
      </c>
      <c r="Q133" s="8" t="n">
        <f aca="false">((H133-H132)/H132)*100</f>
        <v>0.997386364404367</v>
      </c>
      <c r="S133" s="9"/>
      <c r="V133" s="9" t="n">
        <f aca="false">K127-$V$4</f>
        <v>0.398346275104209</v>
      </c>
      <c r="W133" s="9" t="n">
        <f aca="false">L127-$W$4</f>
        <v>0.947750967206852</v>
      </c>
      <c r="X133" s="9" t="n">
        <f aca="false">M127-$X$4</f>
        <v>-0.620837521328298</v>
      </c>
      <c r="Y133" s="9" t="n">
        <f aca="false">N127-$Y$4</f>
        <v>-0.83441802011639</v>
      </c>
      <c r="Z133" s="9" t="n">
        <f aca="false">O127-$Z$4</f>
        <v>-2.60261330155862</v>
      </c>
      <c r="AA133" s="9" t="n">
        <f aca="false">P127-$AA$4</f>
        <v>-1.07872540859655</v>
      </c>
      <c r="AB133" s="9" t="n">
        <f aca="false">Q127-$AB$4</f>
        <v>-0.474998038961378</v>
      </c>
    </row>
    <row r="134" customFormat="false" ht="15.75" hidden="false" customHeight="false" outlineLevel="0" collapsed="false">
      <c r="A134" s="7" t="n">
        <v>45484</v>
      </c>
      <c r="B134" s="8" t="n">
        <v>3163.5</v>
      </c>
      <c r="C134" s="9" t="n">
        <v>3923.7</v>
      </c>
      <c r="D134" s="9" t="n">
        <v>2698.05</v>
      </c>
      <c r="E134" s="8" t="n">
        <v>2593.2</v>
      </c>
      <c r="F134" s="9" t="n">
        <v>1437.95</v>
      </c>
      <c r="G134" s="11" t="n">
        <v>1439</v>
      </c>
      <c r="H134" s="12" t="n">
        <v>0.438883203</v>
      </c>
      <c r="I134" s="12"/>
      <c r="J134" s="12"/>
      <c r="K134" s="8" t="n">
        <f aca="false">((B134-B133)/B133)*100</f>
        <v>-0.107360510278193</v>
      </c>
      <c r="L134" s="8" t="n">
        <f aca="false">((C134-C133)/C133)*100</f>
        <v>0.372203675990937</v>
      </c>
      <c r="M134" s="8" t="n">
        <f aca="false">((D134-D133)/D133)*100</f>
        <v>-1.2426793557833</v>
      </c>
      <c r="N134" s="8" t="n">
        <f aca="false">((E134-E133)/E133)*100</f>
        <v>-0.888608610904088</v>
      </c>
      <c r="O134" s="8" t="n">
        <f aca="false">((F134-F133)/F133)*100</f>
        <v>-0.491332479844982</v>
      </c>
      <c r="P134" s="8" t="n">
        <f aca="false">((G134-G133)/G133)*100</f>
        <v>-0.758620689655172</v>
      </c>
      <c r="Q134" s="8" t="n">
        <f aca="false">((H134-H133)/H133)*100</f>
        <v>0.714815478164326</v>
      </c>
      <c r="S134" s="9"/>
      <c r="V134" s="9" t="n">
        <f aca="false">K128-$V$4</f>
        <v>-0.846609983816352</v>
      </c>
      <c r="W134" s="9" t="n">
        <f aca="false">L128-$W$4</f>
        <v>-1.33572255161231</v>
      </c>
      <c r="X134" s="9" t="n">
        <f aca="false">M128-$X$4</f>
        <v>0.197974378972379</v>
      </c>
      <c r="Y134" s="9" t="n">
        <f aca="false">N128-$Y$4</f>
        <v>0.363569905341917</v>
      </c>
      <c r="Z134" s="9" t="n">
        <f aca="false">O128-$Z$4</f>
        <v>-0.128594647685458</v>
      </c>
      <c r="AA134" s="9" t="n">
        <f aca="false">P128-$AA$4</f>
        <v>0.408030190661104</v>
      </c>
      <c r="AB134" s="9" t="n">
        <f aca="false">Q128-$AB$4</f>
        <v>0.997883308380814</v>
      </c>
    </row>
    <row r="135" customFormat="false" ht="15.75" hidden="false" customHeight="false" outlineLevel="0" collapsed="false">
      <c r="A135" s="7" t="n">
        <v>45485</v>
      </c>
      <c r="B135" s="8" t="n">
        <v>3193.45</v>
      </c>
      <c r="C135" s="9" t="n">
        <v>4183.95</v>
      </c>
      <c r="D135" s="9" t="n">
        <v>2703.95</v>
      </c>
      <c r="E135" s="8" t="n">
        <v>2609</v>
      </c>
      <c r="F135" s="9" t="n">
        <v>1433.25</v>
      </c>
      <c r="G135" s="11" t="n">
        <v>1421</v>
      </c>
      <c r="H135" s="12" t="n">
        <v>0.449314762</v>
      </c>
      <c r="I135" s="12"/>
      <c r="J135" s="12"/>
      <c r="K135" s="8" t="n">
        <f aca="false">((B135-B134)/B134)*100</f>
        <v>0.946736209894099</v>
      </c>
      <c r="L135" s="8" t="n">
        <f aca="false">((C135-C134)/C134)*100</f>
        <v>6.63277008945638</v>
      </c>
      <c r="M135" s="8" t="n">
        <f aca="false">((D135-D134)/D134)*100</f>
        <v>0.218676451511263</v>
      </c>
      <c r="N135" s="8" t="n">
        <f aca="false">((E135-E134)/E134)*100</f>
        <v>0.60928582446399</v>
      </c>
      <c r="O135" s="8" t="n">
        <f aca="false">((F135-F134)/F134)*100</f>
        <v>-0.326854202162804</v>
      </c>
      <c r="P135" s="8" t="n">
        <f aca="false">((G135-G134)/G134)*100</f>
        <v>-1.25086865879083</v>
      </c>
      <c r="Q135" s="8" t="n">
        <f aca="false">((H135-H134)/H134)*100</f>
        <v>2.37684170382797</v>
      </c>
      <c r="S135" s="9"/>
      <c r="V135" s="9" t="n">
        <f aca="false">K129-$V$4</f>
        <v>0.0991042361321862</v>
      </c>
      <c r="W135" s="9" t="n">
        <f aca="false">L129-$W$4</f>
        <v>1.36708405969031</v>
      </c>
      <c r="X135" s="9" t="n">
        <f aca="false">M129-$X$4</f>
        <v>0.614688229367249</v>
      </c>
      <c r="Y135" s="9" t="n">
        <f aca="false">N129-$Y$4</f>
        <v>-0.162376937337862</v>
      </c>
      <c r="Z135" s="9" t="n">
        <f aca="false">O129-$Z$4</f>
        <v>0.0333540902348537</v>
      </c>
      <c r="AA135" s="9" t="n">
        <f aca="false">P129-$AA$4</f>
        <v>0.406526788727086</v>
      </c>
      <c r="AB135" s="9" t="n">
        <f aca="false">Q129-$AB$4</f>
        <v>-4.30777035045187</v>
      </c>
    </row>
    <row r="136" customFormat="false" ht="15.75" hidden="false" customHeight="false" outlineLevel="0" collapsed="false">
      <c r="A136" s="7" t="n">
        <v>45488</v>
      </c>
      <c r="B136" s="8" t="n">
        <v>3193.7</v>
      </c>
      <c r="C136" s="9" t="n">
        <v>4169.2</v>
      </c>
      <c r="D136" s="9" t="n">
        <v>2731.05</v>
      </c>
      <c r="E136" s="8" t="n">
        <v>2605.1</v>
      </c>
      <c r="F136" s="9" t="n">
        <v>1437.6</v>
      </c>
      <c r="G136" s="11" t="n">
        <v>1421.5</v>
      </c>
      <c r="H136" s="12" t="n">
        <v>0.523429203</v>
      </c>
      <c r="I136" s="12"/>
      <c r="J136" s="12"/>
      <c r="K136" s="8" t="n">
        <f aca="false">((B136-B135)/B135)*100</f>
        <v>0.00782852401008314</v>
      </c>
      <c r="L136" s="8" t="n">
        <f aca="false">((C136-C135)/C135)*100</f>
        <v>-0.352537673729371</v>
      </c>
      <c r="M136" s="8" t="n">
        <f aca="false">((D136-D135)/D135)*100</f>
        <v>1.0022374674088</v>
      </c>
      <c r="N136" s="8" t="n">
        <f aca="false">((E136-E135)/E135)*100</f>
        <v>-0.149482560367961</v>
      </c>
      <c r="O136" s="8" t="n">
        <f aca="false">((F136-F135)/F135)*100</f>
        <v>0.303506017791726</v>
      </c>
      <c r="P136" s="8" t="n">
        <f aca="false">((G136-G135)/G135)*100</f>
        <v>0.0351864883884588</v>
      </c>
      <c r="Q136" s="8" t="n">
        <f aca="false">((H136-H135)/H135)*100</f>
        <v>16.49499354753</v>
      </c>
      <c r="S136" s="9"/>
      <c r="V136" s="9" t="n">
        <f aca="false">K130-$V$4</f>
        <v>2.33687968182463</v>
      </c>
      <c r="W136" s="9" t="n">
        <f aca="false">L130-$W$4</f>
        <v>-0.265177464868976</v>
      </c>
      <c r="X136" s="9" t="n">
        <f aca="false">M130-$X$4</f>
        <v>-1.01355244401814</v>
      </c>
      <c r="Y136" s="9" t="n">
        <f aca="false">N130-$Y$4</f>
        <v>1.22591831249214</v>
      </c>
      <c r="Z136" s="9" t="n">
        <f aca="false">O130-$Z$4</f>
        <v>0.275284308467545</v>
      </c>
      <c r="AA136" s="9" t="n">
        <f aca="false">P130-$AA$4</f>
        <v>0.0195404873572167</v>
      </c>
      <c r="AB136" s="9" t="n">
        <f aca="false">Q130-$AB$4</f>
        <v>-7.77281032335695</v>
      </c>
    </row>
    <row r="137" customFormat="false" ht="15.75" hidden="false" customHeight="false" outlineLevel="0" collapsed="false">
      <c r="A137" s="7" t="n">
        <v>45489</v>
      </c>
      <c r="B137" s="8" t="n">
        <v>3151.45</v>
      </c>
      <c r="C137" s="9" t="n">
        <v>4178.45</v>
      </c>
      <c r="D137" s="9" t="n">
        <v>2756.75</v>
      </c>
      <c r="E137" s="8" t="n">
        <v>2607.3</v>
      </c>
      <c r="F137" s="9" t="n">
        <v>1466.5</v>
      </c>
      <c r="G137" s="11" t="n">
        <v>1398.5</v>
      </c>
      <c r="H137" s="12" t="n">
        <v>0.537661645</v>
      </c>
      <c r="I137" s="12"/>
      <c r="J137" s="12"/>
      <c r="K137" s="8" t="n">
        <f aca="false">((B137-B136)/B136)*100</f>
        <v>-1.32291699282963</v>
      </c>
      <c r="L137" s="8" t="n">
        <f aca="false">((C137-C136)/C136)*100</f>
        <v>0.221865106015543</v>
      </c>
      <c r="M137" s="8" t="n">
        <f aca="false">((D137-D136)/D136)*100</f>
        <v>0.941030006773945</v>
      </c>
      <c r="N137" s="8" t="n">
        <f aca="false">((E137-E136)/E136)*100</f>
        <v>0.084449733215626</v>
      </c>
      <c r="O137" s="8" t="n">
        <f aca="false">((F137-F136)/F136)*100</f>
        <v>2.01029493600446</v>
      </c>
      <c r="P137" s="8" t="n">
        <f aca="false">((G137-G136)/G136)*100</f>
        <v>-1.61800914526908</v>
      </c>
      <c r="Q137" s="8" t="n">
        <f aca="false">((H137-H136)/H136)*100</f>
        <v>2.7190767955681</v>
      </c>
      <c r="S137" s="9"/>
      <c r="V137" s="9" t="n">
        <f aca="false">K131-$V$4</f>
        <v>0.7087617400839</v>
      </c>
      <c r="W137" s="9" t="n">
        <f aca="false">L131-$W$4</f>
        <v>-0.501251585513507</v>
      </c>
      <c r="X137" s="9" t="n">
        <f aca="false">M131-$X$4</f>
        <v>-1.26418706531921</v>
      </c>
      <c r="Y137" s="9" t="n">
        <f aca="false">N131-$Y$4</f>
        <v>1.22279369306366</v>
      </c>
      <c r="Z137" s="9" t="n">
        <f aca="false">O131-$Z$4</f>
        <v>0.189177023149509</v>
      </c>
      <c r="AA137" s="9" t="n">
        <f aca="false">P131-$AA$4</f>
        <v>-0.185146852730799</v>
      </c>
      <c r="AB137" s="9" t="n">
        <f aca="false">Q131-$AB$4</f>
        <v>-4.03109042854902</v>
      </c>
    </row>
    <row r="138" customFormat="false" ht="15.75" hidden="false" customHeight="false" outlineLevel="0" collapsed="false">
      <c r="A138" s="7" t="n">
        <v>45491</v>
      </c>
      <c r="B138" s="8" t="n">
        <v>3170.35</v>
      </c>
      <c r="C138" s="9" t="n">
        <v>4315.55</v>
      </c>
      <c r="D138" s="9" t="n">
        <v>2819.45</v>
      </c>
      <c r="E138" s="8" t="n">
        <v>2627.05</v>
      </c>
      <c r="F138" s="9" t="n">
        <v>1483.65</v>
      </c>
      <c r="G138" s="22" t="n">
        <v>1392</v>
      </c>
      <c r="H138" s="12" t="n">
        <v>0.627385156</v>
      </c>
      <c r="I138" s="12"/>
      <c r="J138" s="12"/>
      <c r="K138" s="8" t="n">
        <f aca="false">((B138-B137)/B137)*100</f>
        <v>0.599723936600615</v>
      </c>
      <c r="L138" s="8" t="n">
        <f aca="false">((C138-C137)/C137)*100</f>
        <v>3.28112098984074</v>
      </c>
      <c r="M138" s="8" t="n">
        <f aca="false">((D138-D137)/D137)*100</f>
        <v>2.27441733925818</v>
      </c>
      <c r="N138" s="8" t="n">
        <f aca="false">((E138-E137)/E137)*100</f>
        <v>0.757488589728838</v>
      </c>
      <c r="O138" s="8" t="n">
        <f aca="false">((F138-F137)/F137)*100</f>
        <v>1.16945107398569</v>
      </c>
      <c r="P138" s="8" t="n">
        <f aca="false">((G138-G137)/G137)*100</f>
        <v>-0.464783696818019</v>
      </c>
      <c r="Q138" s="8" t="n">
        <f aca="false">((H138-H137)/H137)*100</f>
        <v>16.6877276507235</v>
      </c>
      <c r="S138" s="9"/>
      <c r="V138" s="9" t="n">
        <f aca="false">K132-$V$4</f>
        <v>-0.670111232776731</v>
      </c>
      <c r="W138" s="9" t="n">
        <f aca="false">L132-$W$4</f>
        <v>-0.230447108025898</v>
      </c>
      <c r="X138" s="9" t="n">
        <f aca="false">M132-$X$4</f>
        <v>2.35174894970026</v>
      </c>
      <c r="Y138" s="9" t="n">
        <f aca="false">N132-$Y$4</f>
        <v>1.22731213068636</v>
      </c>
      <c r="Z138" s="9" t="n">
        <f aca="false">O132-$Z$4</f>
        <v>-0.164150178709779</v>
      </c>
      <c r="AA138" s="9" t="n">
        <f aca="false">P132-$AA$4</f>
        <v>-0.230006567645695</v>
      </c>
      <c r="AB138" s="9" t="n">
        <f aca="false">Q132-$AB$4</f>
        <v>2.25170409308365</v>
      </c>
    </row>
    <row r="139" customFormat="false" ht="15.75" hidden="false" customHeight="false" outlineLevel="0" collapsed="false">
      <c r="A139" s="7" t="n">
        <v>45492</v>
      </c>
      <c r="B139" s="8" t="n">
        <v>3109.5</v>
      </c>
      <c r="C139" s="9" t="n">
        <v>4302.4</v>
      </c>
      <c r="D139" s="9" t="n">
        <v>2749.3</v>
      </c>
      <c r="E139" s="8" t="n">
        <v>2597.85</v>
      </c>
      <c r="F139" s="9" t="n">
        <v>1461.75</v>
      </c>
      <c r="G139" s="11" t="n">
        <v>1381.65</v>
      </c>
      <c r="H139" s="12" t="n">
        <v>0.569228751</v>
      </c>
      <c r="I139" s="12"/>
      <c r="J139" s="12"/>
      <c r="K139" s="8" t="n">
        <f aca="false">((B139-B138)/B138)*100</f>
        <v>-1.91934644439888</v>
      </c>
      <c r="L139" s="8" t="n">
        <f aca="false">((C139-C138)/C138)*100</f>
        <v>-0.304712029752883</v>
      </c>
      <c r="M139" s="8" t="n">
        <f aca="false">((D139-D138)/D138)*100</f>
        <v>-2.48807391512528</v>
      </c>
      <c r="N139" s="8" t="n">
        <f aca="false">((E139-E138)/E138)*100</f>
        <v>-1.11151291372453</v>
      </c>
      <c r="O139" s="8" t="n">
        <f aca="false">((F139-F138)/F138)*100</f>
        <v>-1.47608937417855</v>
      </c>
      <c r="P139" s="8" t="n">
        <f aca="false">((G139-G138)/G138)*100</f>
        <v>-0.743534482758614</v>
      </c>
      <c r="Q139" s="8" t="n">
        <f aca="false">((H139-H138)/H138)*100</f>
        <v>-9.26964950378902</v>
      </c>
      <c r="S139" s="9"/>
      <c r="V139" s="9" t="n">
        <f aca="false">K133-$V$4</f>
        <v>-0.401270597551868</v>
      </c>
      <c r="W139" s="9" t="n">
        <f aca="false">L133-$W$4</f>
        <v>-1.95331369292516</v>
      </c>
      <c r="X139" s="9" t="n">
        <f aca="false">M133-$X$4</f>
        <v>-6.86302758346882</v>
      </c>
      <c r="Y139" s="9" t="n">
        <f aca="false">N133-$Y$4</f>
        <v>-0.545838236154537</v>
      </c>
      <c r="Z139" s="9" t="n">
        <f aca="false">O133-$Z$4</f>
        <v>0.46974543714449</v>
      </c>
      <c r="AA139" s="9" t="n">
        <f aca="false">P133-$AA$4</f>
        <v>-0.597320376247992</v>
      </c>
      <c r="AB139" s="9" t="n">
        <f aca="false">Q133-$AB$4</f>
        <v>0.318128648001218</v>
      </c>
    </row>
    <row r="140" customFormat="false" ht="15.75" hidden="false" customHeight="false" outlineLevel="0" collapsed="false">
      <c r="A140" s="7" t="n">
        <v>45495</v>
      </c>
      <c r="B140" s="8" t="n">
        <v>3001.1</v>
      </c>
      <c r="C140" s="9" t="n">
        <v>4287.35</v>
      </c>
      <c r="D140" s="9" t="n">
        <v>2804.75</v>
      </c>
      <c r="E140" s="8" t="n">
        <v>2587.3</v>
      </c>
      <c r="F140" s="9" t="n">
        <v>1465.4</v>
      </c>
      <c r="G140" s="11" t="n">
        <v>1374.35</v>
      </c>
      <c r="H140" s="12" t="n">
        <v>0.598016039</v>
      </c>
      <c r="I140" s="12"/>
      <c r="J140" s="12"/>
      <c r="K140" s="8" t="n">
        <f aca="false">((B140-B139)/B139)*100</f>
        <v>-3.48609101141663</v>
      </c>
      <c r="L140" s="8" t="n">
        <f aca="false">((C140-C139)/C139)*100</f>
        <v>-0.349804760133862</v>
      </c>
      <c r="M140" s="8" t="n">
        <f aca="false">((D140-D139)/D139)*100</f>
        <v>2.01687702324227</v>
      </c>
      <c r="N140" s="8" t="n">
        <f aca="false">((E140-E139)/E139)*100</f>
        <v>-0.406105048405402</v>
      </c>
      <c r="O140" s="8" t="n">
        <f aca="false">((F140-F139)/F139)*100</f>
        <v>0.249700701214304</v>
      </c>
      <c r="P140" s="8" t="n">
        <f aca="false">((G140-G139)/G139)*100</f>
        <v>-0.528353779900856</v>
      </c>
      <c r="Q140" s="8" t="n">
        <f aca="false">((H140-H139)/H139)*100</f>
        <v>5.0572442009346</v>
      </c>
      <c r="S140" s="9"/>
      <c r="V140" s="9" t="n">
        <f aca="false">K134-$V$4</f>
        <v>-0.0919840943244084</v>
      </c>
      <c r="W140" s="9" t="n">
        <f aca="false">L134-$W$4</f>
        <v>0.334584375237398</v>
      </c>
      <c r="X140" s="9" t="n">
        <f aca="false">M134-$X$4</f>
        <v>-1.49145296557241</v>
      </c>
      <c r="Y140" s="9" t="n">
        <f aca="false">N134-$Y$4</f>
        <v>-0.802112336405779</v>
      </c>
      <c r="Z140" s="9" t="n">
        <f aca="false">O134-$Z$4</f>
        <v>-0.68335430960168</v>
      </c>
      <c r="AA140" s="9" t="n">
        <f aca="false">P134-$AA$4</f>
        <v>-0.739080202297956</v>
      </c>
      <c r="AB140" s="9" t="n">
        <f aca="false">Q134-$AB$4</f>
        <v>0.0355577617611774</v>
      </c>
    </row>
    <row r="141" customFormat="false" ht="15.75" hidden="false" customHeight="false" outlineLevel="0" collapsed="false">
      <c r="A141" s="7" t="n">
        <v>45496</v>
      </c>
      <c r="B141" s="8" t="n">
        <v>2975.65</v>
      </c>
      <c r="C141" s="9" t="n">
        <v>4302.35</v>
      </c>
      <c r="D141" s="9" t="n">
        <v>2821.35</v>
      </c>
      <c r="E141" s="8" t="n">
        <v>2581.55</v>
      </c>
      <c r="F141" s="9" t="n">
        <v>1465.7</v>
      </c>
      <c r="G141" s="11" t="n">
        <v>1357.65</v>
      </c>
      <c r="H141" s="12" t="n">
        <v>0.607432198</v>
      </c>
      <c r="I141" s="12"/>
      <c r="J141" s="12"/>
      <c r="K141" s="8" t="n">
        <f aca="false">((B141-B140)/B140)*100</f>
        <v>-0.848022391789671</v>
      </c>
      <c r="L141" s="8" t="n">
        <f aca="false">((C141-C140)/C140)*100</f>
        <v>0.349866467631521</v>
      </c>
      <c r="M141" s="8" t="n">
        <f aca="false">((D141-D140)/D140)*100</f>
        <v>0.59185310633746</v>
      </c>
      <c r="N141" s="8" t="n">
        <f aca="false">((E141-E140)/E140)*100</f>
        <v>-0.222239400146871</v>
      </c>
      <c r="O141" s="8" t="n">
        <f aca="false">((F141-F140)/F140)*100</f>
        <v>0.0204722260133721</v>
      </c>
      <c r="P141" s="8" t="n">
        <f aca="false">((G141-G140)/G140)*100</f>
        <v>-1.21511987484992</v>
      </c>
      <c r="Q141" s="8" t="n">
        <f aca="false">((H141-H140)/H140)*100</f>
        <v>1.57456629687486</v>
      </c>
      <c r="S141" s="9"/>
      <c r="V141" s="9" t="n">
        <f aca="false">K135-$V$4</f>
        <v>0.962112625847883</v>
      </c>
      <c r="W141" s="9" t="n">
        <f aca="false">L135-$W$4</f>
        <v>6.59515078870284</v>
      </c>
      <c r="X141" s="9" t="n">
        <f aca="false">M135-$X$4</f>
        <v>-0.0300971582778441</v>
      </c>
      <c r="Y141" s="9" t="n">
        <f aca="false">N135-$Y$4</f>
        <v>0.695782098962299</v>
      </c>
      <c r="Z141" s="9" t="n">
        <f aca="false">O135-$Z$4</f>
        <v>-0.518876031919502</v>
      </c>
      <c r="AA141" s="9" t="n">
        <f aca="false">P135-$AA$4</f>
        <v>-1.23132817143361</v>
      </c>
      <c r="AB141" s="9" t="n">
        <f aca="false">Q135-$AB$4</f>
        <v>1.69758398742482</v>
      </c>
    </row>
    <row r="142" customFormat="false" ht="15.75" hidden="false" customHeight="false" outlineLevel="0" collapsed="false">
      <c r="A142" s="7" t="n">
        <v>45497</v>
      </c>
      <c r="B142" s="8" t="n">
        <v>2990.65</v>
      </c>
      <c r="C142" s="9" t="n">
        <v>4306.25</v>
      </c>
      <c r="D142" s="9" t="n">
        <v>2805.5</v>
      </c>
      <c r="E142" s="8" t="n">
        <v>2541.4</v>
      </c>
      <c r="F142" s="9" t="n">
        <v>1455.2</v>
      </c>
      <c r="G142" s="11" t="n">
        <v>1346.65</v>
      </c>
      <c r="H142" s="12" t="n">
        <v>0.598191283</v>
      </c>
      <c r="I142" s="12"/>
      <c r="J142" s="12"/>
      <c r="K142" s="8" t="n">
        <f aca="false">((B142-B141)/B141)*100</f>
        <v>0.504091543024213</v>
      </c>
      <c r="L142" s="8" t="n">
        <f aca="false">((C142-C141)/C141)*100</f>
        <v>0.0906481341592301</v>
      </c>
      <c r="M142" s="8" t="n">
        <f aca="false">((D142-D141)/D141)*100</f>
        <v>-0.561787796622181</v>
      </c>
      <c r="N142" s="8" t="n">
        <f aca="false">((E142-E141)/E141)*100</f>
        <v>-1.55526718444346</v>
      </c>
      <c r="O142" s="8" t="n">
        <f aca="false">((F142-F141)/F141)*100</f>
        <v>-0.716381251279252</v>
      </c>
      <c r="P142" s="8" t="n">
        <f aca="false">((G142-G141)/G141)*100</f>
        <v>-0.810223548042574</v>
      </c>
      <c r="Q142" s="8" t="n">
        <f aca="false">((H142-H141)/H141)*100</f>
        <v>-1.52130806210573</v>
      </c>
      <c r="S142" s="9"/>
      <c r="V142" s="9" t="n">
        <f aca="false">K136-$V$4</f>
        <v>0.0232049399638676</v>
      </c>
      <c r="W142" s="9" t="n">
        <f aca="false">L136-$W$4</f>
        <v>-0.39015697448291</v>
      </c>
      <c r="X142" s="9" t="n">
        <f aca="false">M136-$X$4</f>
        <v>0.753463857619697</v>
      </c>
      <c r="Y142" s="9" t="n">
        <f aca="false">N136-$Y$4</f>
        <v>-0.0629862858696518</v>
      </c>
      <c r="Z142" s="9" t="n">
        <f aca="false">O136-$Z$4</f>
        <v>0.111484188035028</v>
      </c>
      <c r="AA142" s="9" t="n">
        <f aca="false">P136-$AA$4</f>
        <v>0.0547269757456755</v>
      </c>
      <c r="AB142" s="9" t="n">
        <f aca="false">Q136-$AB$4</f>
        <v>15.8157358311269</v>
      </c>
    </row>
    <row r="143" customFormat="false" ht="15.75" hidden="false" customHeight="false" outlineLevel="0" collapsed="false">
      <c r="A143" s="7" t="n">
        <v>45498</v>
      </c>
      <c r="B143" s="8" t="n">
        <v>2982.6</v>
      </c>
      <c r="C143" s="9" t="n">
        <v>4322.5</v>
      </c>
      <c r="D143" s="9" t="n">
        <v>2811.4</v>
      </c>
      <c r="E143" s="8" t="n">
        <v>2480.65</v>
      </c>
      <c r="F143" s="9" t="n">
        <v>1449.15</v>
      </c>
      <c r="G143" s="11" t="n">
        <v>1328.35</v>
      </c>
      <c r="H143" s="12" t="n">
        <v>0.618545355</v>
      </c>
      <c r="I143" s="12"/>
      <c r="J143" s="12"/>
      <c r="K143" s="8" t="n">
        <f aca="false">((B143-B142)/B142)*100</f>
        <v>-0.269172253523488</v>
      </c>
      <c r="L143" s="8" t="n">
        <f aca="false">((C143-C142)/C142)*100</f>
        <v>0.377358490566038</v>
      </c>
      <c r="M143" s="8" t="n">
        <f aca="false">((D143-D142)/D142)*100</f>
        <v>0.210301194083054</v>
      </c>
      <c r="N143" s="8" t="n">
        <f aca="false">((E143-E142)/E142)*100</f>
        <v>-2.39041473203746</v>
      </c>
      <c r="O143" s="8" t="n">
        <f aca="false">((F143-F142)/F142)*100</f>
        <v>-0.415750412314455</v>
      </c>
      <c r="P143" s="8" t="n">
        <f aca="false">((G143-G142)/G142)*100</f>
        <v>-1.35892770950137</v>
      </c>
      <c r="Q143" s="8" t="n">
        <f aca="false">((H143-H142)/H142)*100</f>
        <v>3.40260257520335</v>
      </c>
      <c r="S143" s="9"/>
      <c r="V143" s="9" t="n">
        <f aca="false">K137-$V$4</f>
        <v>-1.30754057687585</v>
      </c>
      <c r="W143" s="9" t="n">
        <f aca="false">L137-$W$4</f>
        <v>0.184245805262003</v>
      </c>
      <c r="X143" s="9" t="n">
        <f aca="false">M137-$X$4</f>
        <v>0.692256396984837</v>
      </c>
      <c r="Y143" s="9" t="n">
        <f aca="false">N137-$Y$4</f>
        <v>0.170946007713935</v>
      </c>
      <c r="Z143" s="9" t="n">
        <f aca="false">O137-$Z$4</f>
        <v>1.81827310624776</v>
      </c>
      <c r="AA143" s="9" t="n">
        <f aca="false">P137-$AA$4</f>
        <v>-1.59846865791187</v>
      </c>
      <c r="AB143" s="9" t="n">
        <f aca="false">Q137-$AB$4</f>
        <v>2.03981907916496</v>
      </c>
    </row>
    <row r="144" customFormat="false" ht="15.75" hidden="false" customHeight="false" outlineLevel="0" collapsed="false">
      <c r="A144" s="7" t="n">
        <v>45499</v>
      </c>
      <c r="B144" s="8" t="n">
        <v>3017.85</v>
      </c>
      <c r="C144" s="9" t="n">
        <v>4387.85</v>
      </c>
      <c r="D144" s="9" t="n">
        <v>2887.8</v>
      </c>
      <c r="E144" s="8" t="n">
        <v>2476.9</v>
      </c>
      <c r="F144" s="9" t="n">
        <v>1514.4</v>
      </c>
      <c r="G144" s="11" t="n">
        <v>1336.5</v>
      </c>
      <c r="H144" s="12" t="n">
        <v>0.599767932</v>
      </c>
      <c r="I144" s="12"/>
      <c r="J144" s="12"/>
      <c r="K144" s="8" t="n">
        <f aca="false">((B144-B143)/B143)*100</f>
        <v>1.18185475759405</v>
      </c>
      <c r="L144" s="8" t="n">
        <f aca="false">((C144-C143)/C143)*100</f>
        <v>1.51185656448815</v>
      </c>
      <c r="M144" s="8" t="n">
        <f aca="false">((D144-D143)/D143)*100</f>
        <v>2.71750729174077</v>
      </c>
      <c r="N144" s="8" t="n">
        <f aca="false">((E144-E143)/E143)*100</f>
        <v>-0.151170056235261</v>
      </c>
      <c r="O144" s="8" t="n">
        <f aca="false">((F144-F143)/F143)*100</f>
        <v>4.50263947831487</v>
      </c>
      <c r="P144" s="8" t="n">
        <f aca="false">((G144-G143)/G143)*100</f>
        <v>0.613543117401294</v>
      </c>
      <c r="Q144" s="8" t="n">
        <f aca="false">((H144-H143)/H143)*100</f>
        <v>-3.0357390688028</v>
      </c>
      <c r="S144" s="9"/>
      <c r="V144" s="9" t="n">
        <f aca="false">K138-$V$4</f>
        <v>0.6151003525544</v>
      </c>
      <c r="W144" s="9" t="n">
        <f aca="false">L138-$W$4</f>
        <v>3.2435016890872</v>
      </c>
      <c r="X144" s="9" t="n">
        <f aca="false">M138-$X$4</f>
        <v>2.02564372946907</v>
      </c>
      <c r="Y144" s="9" t="n">
        <f aca="false">N138-$Y$4</f>
        <v>0.843984864227147</v>
      </c>
      <c r="Z144" s="9" t="n">
        <f aca="false">O138-$Z$4</f>
        <v>0.977429244228988</v>
      </c>
      <c r="AA144" s="9" t="n">
        <f aca="false">P138-$AA$4</f>
        <v>-0.445243209460803</v>
      </c>
      <c r="AB144" s="9" t="n">
        <f aca="false">Q138-$AB$4</f>
        <v>16.0084699343204</v>
      </c>
    </row>
    <row r="145" customFormat="false" ht="15.75" hidden="false" customHeight="false" outlineLevel="0" collapsed="false">
      <c r="A145" s="7" t="n">
        <v>45502</v>
      </c>
      <c r="B145" s="8" t="n">
        <v>3040.75</v>
      </c>
      <c r="C145" s="9" t="n">
        <v>4381.1</v>
      </c>
      <c r="D145" s="9" t="n">
        <v>2933</v>
      </c>
      <c r="E145" s="8" t="n">
        <v>2470.3</v>
      </c>
      <c r="F145" s="9" t="n">
        <v>1481.35</v>
      </c>
      <c r="G145" s="11" t="n">
        <v>1331</v>
      </c>
      <c r="H145" s="12" t="n">
        <v>0.602178082</v>
      </c>
      <c r="I145" s="12"/>
      <c r="J145" s="12"/>
      <c r="K145" s="8" t="n">
        <f aca="false">((B145-B144)/B144)*100</f>
        <v>0.758818364067137</v>
      </c>
      <c r="L145" s="8" t="n">
        <f aca="false">((C145-C144)/C144)*100</f>
        <v>-0.153833882197432</v>
      </c>
      <c r="M145" s="8" t="n">
        <f aca="false">((D145-D144)/D144)*100</f>
        <v>1.56520534663065</v>
      </c>
      <c r="N145" s="8" t="n">
        <f aca="false">((E145-E144)/E144)*100</f>
        <v>-0.26646210989543</v>
      </c>
      <c r="O145" s="8" t="n">
        <f aca="false">((F145-F144)/F144)*100</f>
        <v>-2.18238246170102</v>
      </c>
      <c r="P145" s="8" t="n">
        <f aca="false">((G145-G144)/G144)*100</f>
        <v>-0.411522633744856</v>
      </c>
      <c r="Q145" s="8" t="n">
        <f aca="false">((H145-H144)/H144)*100</f>
        <v>0.40184709308533</v>
      </c>
      <c r="S145" s="9"/>
      <c r="V145" s="9" t="n">
        <f aca="false">K139-$V$4</f>
        <v>-1.9039700284451</v>
      </c>
      <c r="W145" s="9" t="n">
        <f aca="false">L139-$W$4</f>
        <v>-0.342331330506423</v>
      </c>
      <c r="X145" s="9" t="n">
        <f aca="false">M139-$X$4</f>
        <v>-2.73684752491439</v>
      </c>
      <c r="Y145" s="9" t="n">
        <f aca="false">N139-$Y$4</f>
        <v>-1.02501663922622</v>
      </c>
      <c r="Z145" s="9" t="n">
        <f aca="false">O139-$Z$4</f>
        <v>-1.66811120393525</v>
      </c>
      <c r="AA145" s="9" t="n">
        <f aca="false">P139-$AA$4</f>
        <v>-0.723993995401398</v>
      </c>
      <c r="AB145" s="9" t="n">
        <f aca="false">Q139-$AB$4</f>
        <v>-9.94890722019217</v>
      </c>
    </row>
    <row r="146" customFormat="false" ht="15.75" hidden="false" customHeight="false" outlineLevel="0" collapsed="false">
      <c r="A146" s="7" t="n">
        <v>45503</v>
      </c>
      <c r="B146" s="8" t="n">
        <v>3025.55</v>
      </c>
      <c r="C146" s="9" t="n">
        <v>4365.35</v>
      </c>
      <c r="D146" s="9" t="n">
        <v>2922.1</v>
      </c>
      <c r="E146" s="8" t="n">
        <v>2457.65</v>
      </c>
      <c r="F146" s="9" t="n">
        <v>1470.35</v>
      </c>
      <c r="G146" s="11" t="n">
        <v>1329.35</v>
      </c>
      <c r="H146" s="12" t="n">
        <v>0.601354187</v>
      </c>
      <c r="I146" s="12"/>
      <c r="J146" s="12"/>
      <c r="K146" s="8" t="n">
        <f aca="false">((B146-B145)/B145)*100</f>
        <v>-0.499876675162372</v>
      </c>
      <c r="L146" s="8" t="n">
        <f aca="false">((C146-C145)/C145)*100</f>
        <v>-0.359498756020178</v>
      </c>
      <c r="M146" s="8" t="n">
        <f aca="false">((D146-D145)/D145)*100</f>
        <v>-0.371633140129563</v>
      </c>
      <c r="N146" s="8" t="n">
        <f aca="false">((E146-E145)/E145)*100</f>
        <v>-0.51208355260495</v>
      </c>
      <c r="O146" s="8" t="n">
        <f aca="false">((F146-F145)/F145)*100</f>
        <v>-0.742565902723867</v>
      </c>
      <c r="P146" s="8" t="n">
        <f aca="false">((G146-G145)/G145)*100</f>
        <v>-0.123966942148767</v>
      </c>
      <c r="Q146" s="8" t="n">
        <f aca="false">((H146-H145)/H145)*100</f>
        <v>-0.136819161079997</v>
      </c>
      <c r="S146" s="9"/>
      <c r="V146" s="9" t="n">
        <f aca="false">K140-$V$4</f>
        <v>-3.47071459546285</v>
      </c>
      <c r="W146" s="9" t="n">
        <f aca="false">L140-$W$4</f>
        <v>-0.387424060887401</v>
      </c>
      <c r="X146" s="9" t="n">
        <f aca="false">M140-$X$4</f>
        <v>1.76810341345317</v>
      </c>
      <c r="Y146" s="9" t="n">
        <f aca="false">N140-$Y$4</f>
        <v>-0.319608773907093</v>
      </c>
      <c r="Z146" s="9" t="n">
        <f aca="false">O140-$Z$4</f>
        <v>0.0576788714576063</v>
      </c>
      <c r="AA146" s="9" t="n">
        <f aca="false">P140-$AA$4</f>
        <v>-0.50881329254364</v>
      </c>
      <c r="AB146" s="9" t="n">
        <f aca="false">Q140-$AB$4</f>
        <v>4.37798648453145</v>
      </c>
    </row>
    <row r="147" customFormat="false" ht="15.75" hidden="false" customHeight="false" outlineLevel="0" collapsed="false">
      <c r="A147" s="7" t="n">
        <v>45504</v>
      </c>
      <c r="B147" s="8" t="n">
        <v>3010.25</v>
      </c>
      <c r="C147" s="9" t="n">
        <v>4385.35</v>
      </c>
      <c r="D147" s="9" t="n">
        <v>2907.8</v>
      </c>
      <c r="E147" s="8" t="n">
        <v>2456.35</v>
      </c>
      <c r="F147" s="9" t="n">
        <v>1491.55</v>
      </c>
      <c r="G147" s="11" t="n">
        <v>1381.5</v>
      </c>
      <c r="H147" s="12" t="n">
        <v>0.627331703</v>
      </c>
      <c r="I147" s="12"/>
      <c r="J147" s="12"/>
      <c r="K147" s="8" t="n">
        <f aca="false">((B147-B146)/B146)*100</f>
        <v>-0.505693179752448</v>
      </c>
      <c r="L147" s="8" t="n">
        <f aca="false">((C147-C146)/C146)*100</f>
        <v>0.458153412670233</v>
      </c>
      <c r="M147" s="8" t="n">
        <f aca="false">((D147-D146)/D146)*100</f>
        <v>-0.489374080284717</v>
      </c>
      <c r="N147" s="8" t="n">
        <f aca="false">((E147-E146)/E146)*100</f>
        <v>-0.0528960592435938</v>
      </c>
      <c r="O147" s="8" t="n">
        <f aca="false">((F147-F146)/F146)*100</f>
        <v>1.44183357703948</v>
      </c>
      <c r="P147" s="8" t="n">
        <f aca="false">((G147-G146)/G146)*100</f>
        <v>3.92296987249408</v>
      </c>
      <c r="Q147" s="8" t="n">
        <f aca="false">((H147-H146)/H146)*100</f>
        <v>4.31983622324059</v>
      </c>
      <c r="S147" s="9"/>
      <c r="V147" s="9" t="n">
        <f aca="false">K141-$V$4</f>
        <v>-0.832645975835887</v>
      </c>
      <c r="W147" s="9" t="n">
        <f aca="false">L141-$W$4</f>
        <v>0.312247166877981</v>
      </c>
      <c r="X147" s="9" t="n">
        <f aca="false">M141-$X$4</f>
        <v>0.343079496548353</v>
      </c>
      <c r="Y147" s="9" t="n">
        <f aca="false">N141-$Y$4</f>
        <v>-0.135743125648562</v>
      </c>
      <c r="Z147" s="9" t="n">
        <f aca="false">O141-$Z$4</f>
        <v>-0.171549603743326</v>
      </c>
      <c r="AA147" s="9" t="n">
        <f aca="false">P141-$AA$4</f>
        <v>-1.1955793874927</v>
      </c>
      <c r="AB147" s="9" t="n">
        <f aca="false">Q141-$AB$4</f>
        <v>0.895308580471714</v>
      </c>
    </row>
    <row r="148" customFormat="false" ht="15.75" hidden="false" customHeight="false" outlineLevel="0" collapsed="false">
      <c r="A148" s="7" t="n">
        <v>45505</v>
      </c>
      <c r="B148" s="8" t="n">
        <v>3031.7</v>
      </c>
      <c r="C148" s="9" t="n">
        <v>4397.1</v>
      </c>
      <c r="D148" s="9" t="n">
        <v>2828.4</v>
      </c>
      <c r="E148" s="8" t="n">
        <v>2484</v>
      </c>
      <c r="F148" s="9" t="n">
        <v>1505.5</v>
      </c>
      <c r="G148" s="11" t="n">
        <v>1394.35</v>
      </c>
      <c r="H148" s="12" t="n">
        <v>0.624135948</v>
      </c>
      <c r="I148" s="12"/>
      <c r="J148" s="12"/>
      <c r="K148" s="8" t="n">
        <f aca="false">((B148-B147)/B147)*100</f>
        <v>0.712565401544716</v>
      </c>
      <c r="L148" s="8" t="n">
        <f aca="false">((C148-C147)/C147)*100</f>
        <v>0.267937564846592</v>
      </c>
      <c r="M148" s="8" t="n">
        <f aca="false">((D148-D147)/D147)*100</f>
        <v>-2.73058669784717</v>
      </c>
      <c r="N148" s="8" t="n">
        <f aca="false">((E148-E147)/E147)*100</f>
        <v>1.12565391739777</v>
      </c>
      <c r="O148" s="8" t="n">
        <f aca="false">((F148-F147)/F147)*100</f>
        <v>0.935268680231977</v>
      </c>
      <c r="P148" s="8" t="n">
        <f aca="false">((G148-G147)/G147)*100</f>
        <v>0.930148389431771</v>
      </c>
      <c r="Q148" s="8" t="n">
        <f aca="false">((H148-H147)/H147)*100</f>
        <v>-0.509420293078973</v>
      </c>
      <c r="S148" s="9"/>
      <c r="V148" s="9" t="n">
        <f aca="false">K142-$V$4</f>
        <v>0.519467958977998</v>
      </c>
      <c r="W148" s="9" t="n">
        <f aca="false">L142-$W$4</f>
        <v>0.0530288334056906</v>
      </c>
      <c r="X148" s="9" t="n">
        <f aca="false">M142-$X$4</f>
        <v>-0.810561406411289</v>
      </c>
      <c r="Y148" s="9" t="n">
        <f aca="false">N142-$Y$4</f>
        <v>-1.46877090994515</v>
      </c>
      <c r="Z148" s="9" t="n">
        <f aca="false">O142-$Z$4</f>
        <v>-0.90840308103595</v>
      </c>
      <c r="AA148" s="9" t="n">
        <f aca="false">P142-$AA$4</f>
        <v>-0.790683060685357</v>
      </c>
      <c r="AB148" s="9" t="n">
        <f aca="false">Q142-$AB$4</f>
        <v>-2.20056577850887</v>
      </c>
    </row>
    <row r="149" customFormat="false" ht="15.75" hidden="false" customHeight="false" outlineLevel="0" collapsed="false">
      <c r="A149" s="7" t="n">
        <v>45506</v>
      </c>
      <c r="B149" s="8" t="n">
        <v>2998.45</v>
      </c>
      <c r="C149" s="9" t="n">
        <v>4283.05</v>
      </c>
      <c r="D149" s="9" t="n">
        <v>2749.65</v>
      </c>
      <c r="E149" s="8" t="n">
        <v>2495.1</v>
      </c>
      <c r="F149" s="9" t="n">
        <v>1493.8</v>
      </c>
      <c r="G149" s="11" t="n">
        <v>1382.65</v>
      </c>
      <c r="H149" s="12" t="n">
        <v>0.596494865</v>
      </c>
      <c r="I149" s="12"/>
      <c r="J149" s="12"/>
      <c r="K149" s="8" t="n">
        <f aca="false">((B149-B148)/B148)*100</f>
        <v>-1.09674440083122</v>
      </c>
      <c r="L149" s="8" t="n">
        <f aca="false">((C149-C148)/C148)*100</f>
        <v>-2.5937549748698</v>
      </c>
      <c r="M149" s="8" t="n">
        <f aca="false">((D149-D148)/D148)*100</f>
        <v>-2.78425965210013</v>
      </c>
      <c r="N149" s="8" t="n">
        <f aca="false">((E149-E148)/E148)*100</f>
        <v>0.446859903381639</v>
      </c>
      <c r="O149" s="8" t="n">
        <f aca="false">((F149-F148)/F148)*100</f>
        <v>-0.777150448356031</v>
      </c>
      <c r="P149" s="8" t="n">
        <f aca="false">((G149-G148)/G148)*100</f>
        <v>-0.839100656219731</v>
      </c>
      <c r="Q149" s="8" t="n">
        <f aca="false">((H149-H148)/H148)*100</f>
        <v>-4.42869587764876</v>
      </c>
      <c r="S149" s="9"/>
      <c r="V149" s="9" t="n">
        <f aca="false">K143-$V$4</f>
        <v>-0.253795837569703</v>
      </c>
      <c r="W149" s="9" t="n">
        <f aca="false">L143-$W$4</f>
        <v>0.339739189812498</v>
      </c>
      <c r="X149" s="9" t="n">
        <f aca="false">M143-$X$4</f>
        <v>-0.0384724157060529</v>
      </c>
      <c r="Y149" s="9" t="n">
        <f aca="false">N143-$Y$4</f>
        <v>-2.30391845753915</v>
      </c>
      <c r="Z149" s="9" t="n">
        <f aca="false">O143-$Z$4</f>
        <v>-0.607772242071153</v>
      </c>
      <c r="AA149" s="9" t="n">
        <f aca="false">P143-$AA$4</f>
        <v>-1.33938722214415</v>
      </c>
      <c r="AB149" s="9" t="n">
        <f aca="false">Q143-$AB$4</f>
        <v>2.7233448588002</v>
      </c>
    </row>
    <row r="150" customFormat="false" ht="15.75" hidden="false" customHeight="false" outlineLevel="0" collapsed="false">
      <c r="A150" s="7" t="n">
        <v>45509</v>
      </c>
      <c r="B150" s="8" t="n">
        <v>2894.7</v>
      </c>
      <c r="C150" s="9" t="n">
        <v>4155.05</v>
      </c>
      <c r="D150" s="9" t="n">
        <v>2678.95</v>
      </c>
      <c r="E150" s="8" t="n">
        <v>2510.9</v>
      </c>
      <c r="F150" s="9" t="n">
        <v>1465.7</v>
      </c>
      <c r="G150" s="11" t="n">
        <v>1371.65</v>
      </c>
      <c r="H150" s="12" t="n">
        <v>0.523000237</v>
      </c>
      <c r="I150" s="12"/>
      <c r="J150" s="12"/>
      <c r="K150" s="8" t="n">
        <f aca="false">((B150-B149)/B149)*100</f>
        <v>-3.46012106254898</v>
      </c>
      <c r="L150" s="8" t="n">
        <f aca="false">((C150-C149)/C149)*100</f>
        <v>-2.98852453275119</v>
      </c>
      <c r="M150" s="8" t="n">
        <f aca="false">((D150-D149)/D149)*100</f>
        <v>-2.57123633917045</v>
      </c>
      <c r="N150" s="8" t="n">
        <f aca="false">((E150-E149)/E149)*100</f>
        <v>0.633241152659219</v>
      </c>
      <c r="O150" s="8" t="n">
        <f aca="false">((F150-F149)/F149)*100</f>
        <v>-1.8811085821395</v>
      </c>
      <c r="P150" s="8" t="n">
        <f aca="false">((G150-G149)/G149)*100</f>
        <v>-0.795573717137381</v>
      </c>
      <c r="Q150" s="8" t="n">
        <f aca="false">((H150-H149)/H149)*100</f>
        <v>-12.3210830993491</v>
      </c>
      <c r="S150" s="9"/>
      <c r="V150" s="9" t="n">
        <f aca="false">K144-$V$4</f>
        <v>1.19723117354783</v>
      </c>
      <c r="W150" s="9" t="n">
        <f aca="false">L144-$W$4</f>
        <v>1.47423726373461</v>
      </c>
      <c r="X150" s="9" t="n">
        <f aca="false">M144-$X$4</f>
        <v>2.46873368195167</v>
      </c>
      <c r="Y150" s="9" t="n">
        <f aca="false">N144-$Y$4</f>
        <v>-0.0646737817369521</v>
      </c>
      <c r="Z150" s="9" t="n">
        <f aca="false">O144-$Z$4</f>
        <v>4.31061764855818</v>
      </c>
      <c r="AA150" s="9" t="n">
        <f aca="false">P144-$AA$4</f>
        <v>0.633083604758511</v>
      </c>
      <c r="AB150" s="9" t="n">
        <f aca="false">Q144-$AB$4</f>
        <v>-3.71499678520595</v>
      </c>
    </row>
    <row r="151" customFormat="false" ht="15.75" hidden="false" customHeight="false" outlineLevel="0" collapsed="false">
      <c r="A151" s="7" t="n">
        <v>45510</v>
      </c>
      <c r="B151" s="8" t="n">
        <v>2911.8</v>
      </c>
      <c r="C151" s="9" t="n">
        <v>4171.2</v>
      </c>
      <c r="D151" s="9" t="n">
        <v>2632.95</v>
      </c>
      <c r="E151" s="8" t="n">
        <v>2508.5</v>
      </c>
      <c r="F151" s="9" t="n">
        <v>1443.55</v>
      </c>
      <c r="G151" s="11" t="n">
        <v>1350</v>
      </c>
      <c r="H151" s="12" t="n">
        <v>0.490257398</v>
      </c>
      <c r="I151" s="12"/>
      <c r="J151" s="12"/>
      <c r="K151" s="8" t="n">
        <f aca="false">((B151-B150)/B150)*100</f>
        <v>0.590734791170082</v>
      </c>
      <c r="L151" s="8" t="n">
        <f aca="false">((C151-C150)/C150)*100</f>
        <v>0.388683650016237</v>
      </c>
      <c r="M151" s="8" t="n">
        <f aca="false">((D151-D150)/D150)*100</f>
        <v>-1.71709065118797</v>
      </c>
      <c r="N151" s="8" t="n">
        <f aca="false">((E151-E150)/E150)*100</f>
        <v>-0.0955832569994859</v>
      </c>
      <c r="O151" s="8" t="n">
        <f aca="false">((F151-F150)/F150)*100</f>
        <v>-1.51122330627005</v>
      </c>
      <c r="P151" s="8" t="n">
        <f aca="false">((G151-G150)/G150)*100</f>
        <v>-1.57839098895491</v>
      </c>
      <c r="Q151" s="8" t="n">
        <f aca="false">((H151-H150)/H150)*100</f>
        <v>-6.26057823373414</v>
      </c>
      <c r="S151" s="9"/>
      <c r="V151" s="9" t="n">
        <f aca="false">K145-$V$4</f>
        <v>0.774194780020922</v>
      </c>
      <c r="W151" s="9" t="n">
        <f aca="false">L145-$W$4</f>
        <v>-0.191453182950971</v>
      </c>
      <c r="X151" s="9" t="n">
        <f aca="false">M145-$X$4</f>
        <v>1.31643173684154</v>
      </c>
      <c r="Y151" s="9" t="n">
        <f aca="false">N145-$Y$4</f>
        <v>-0.179965835397121</v>
      </c>
      <c r="Z151" s="9" t="n">
        <f aca="false">O145-$Z$4</f>
        <v>-2.37440429145771</v>
      </c>
      <c r="AA151" s="9" t="n">
        <f aca="false">P145-$AA$4</f>
        <v>-0.391982146387639</v>
      </c>
      <c r="AB151" s="9" t="n">
        <f aca="false">Q145-$AB$4</f>
        <v>-0.277410623317819</v>
      </c>
    </row>
    <row r="152" customFormat="false" ht="15.75" hidden="false" customHeight="false" outlineLevel="0" collapsed="false">
      <c r="A152" s="7" t="n">
        <v>45511</v>
      </c>
      <c r="B152" s="8" t="n">
        <v>2929.2</v>
      </c>
      <c r="C152" s="9" t="n">
        <v>4200.45</v>
      </c>
      <c r="D152" s="9" t="n">
        <v>2680.85</v>
      </c>
      <c r="E152" s="8" t="n">
        <v>2522.8</v>
      </c>
      <c r="F152" s="9" t="n">
        <v>1441.75</v>
      </c>
      <c r="G152" s="11" t="n">
        <v>1376.5</v>
      </c>
      <c r="H152" s="12" t="n">
        <v>0.504586575</v>
      </c>
      <c r="I152" s="12"/>
      <c r="J152" s="12"/>
      <c r="K152" s="8" t="n">
        <f aca="false">((B152-B151)/B151)*100</f>
        <v>0.597568514321026</v>
      </c>
      <c r="L152" s="8" t="n">
        <f aca="false">((C152-C151)/C151)*100</f>
        <v>0.701237054085155</v>
      </c>
      <c r="M152" s="8" t="n">
        <f aca="false">((D152-D151)/D151)*100</f>
        <v>1.81925216961963</v>
      </c>
      <c r="N152" s="8" t="n">
        <f aca="false">((E152-E151)/E151)*100</f>
        <v>0.570061789914299</v>
      </c>
      <c r="O152" s="8" t="n">
        <f aca="false">((F152-F151)/F151)*100</f>
        <v>-0.124692598108826</v>
      </c>
      <c r="P152" s="8" t="n">
        <f aca="false">((G152-G151)/G151)*100</f>
        <v>1.96296296296296</v>
      </c>
      <c r="Q152" s="8" t="n">
        <f aca="false">((H152-H151)/H151)*100</f>
        <v>2.92278649102609</v>
      </c>
      <c r="S152" s="9"/>
      <c r="V152" s="9" t="n">
        <f aca="false">K146-$V$4</f>
        <v>-0.484500259208587</v>
      </c>
      <c r="W152" s="9" t="n">
        <f aca="false">L146-$W$4</f>
        <v>-0.397118056773717</v>
      </c>
      <c r="X152" s="9" t="n">
        <f aca="false">M146-$X$4</f>
        <v>-0.620406749918671</v>
      </c>
      <c r="Y152" s="9" t="n">
        <f aca="false">N146-$Y$4</f>
        <v>-0.425587278106642</v>
      </c>
      <c r="Z152" s="9" t="n">
        <f aca="false">O146-$Z$4</f>
        <v>-0.934587732480565</v>
      </c>
      <c r="AA152" s="9" t="n">
        <f aca="false">P146-$AA$4</f>
        <v>-0.10442645479155</v>
      </c>
      <c r="AB152" s="9" t="n">
        <f aca="false">Q146-$AB$4</f>
        <v>-0.816076877483146</v>
      </c>
    </row>
    <row r="153" customFormat="false" ht="15.75" hidden="false" customHeight="false" outlineLevel="0" collapsed="false">
      <c r="A153" s="7" t="n">
        <v>45512</v>
      </c>
      <c r="B153" s="8" t="n">
        <v>2895.5</v>
      </c>
      <c r="C153" s="9" t="n">
        <v>4172.55</v>
      </c>
      <c r="D153" s="9" t="n">
        <v>2682.95</v>
      </c>
      <c r="E153" s="8" t="n">
        <v>2489.1</v>
      </c>
      <c r="F153" s="9" t="n">
        <v>1451.8</v>
      </c>
      <c r="G153" s="11" t="n">
        <v>1365</v>
      </c>
      <c r="H153" s="12" t="n">
        <v>0.604711774</v>
      </c>
      <c r="I153" s="12"/>
      <c r="J153" s="12"/>
      <c r="K153" s="8" t="n">
        <f aca="false">((B153-B152)/B152)*100</f>
        <v>-1.15048477399972</v>
      </c>
      <c r="L153" s="8" t="n">
        <f aca="false">((C153-C152)/C152)*100</f>
        <v>-0.66421454844123</v>
      </c>
      <c r="M153" s="8" t="n">
        <f aca="false">((D153-D152)/D152)*100</f>
        <v>0.0783333644179984</v>
      </c>
      <c r="N153" s="8" t="n">
        <f aca="false">((E153-E152)/E152)*100</f>
        <v>-1.33581734580626</v>
      </c>
      <c r="O153" s="8" t="n">
        <f aca="false">((F153-F152)/F152)*100</f>
        <v>0.697069533552971</v>
      </c>
      <c r="P153" s="8" t="n">
        <f aca="false">((G153-G152)/G152)*100</f>
        <v>-0.835452233926626</v>
      </c>
      <c r="Q153" s="8" t="n">
        <f aca="false">((H153-H152)/H152)*100</f>
        <v>19.8430168301644</v>
      </c>
      <c r="S153" s="9"/>
      <c r="V153" s="9" t="n">
        <f aca="false">K147-$V$4</f>
        <v>-0.490316763798663</v>
      </c>
      <c r="W153" s="9" t="n">
        <f aca="false">L147-$W$4</f>
        <v>0.420534111916693</v>
      </c>
      <c r="X153" s="9" t="n">
        <f aca="false">M147-$X$4</f>
        <v>-0.738147690073825</v>
      </c>
      <c r="Y153" s="9" t="n">
        <f aca="false">N147-$Y$4</f>
        <v>0.0336002152547151</v>
      </c>
      <c r="Z153" s="9" t="n">
        <f aca="false">O147-$Z$4</f>
        <v>1.24981174728279</v>
      </c>
      <c r="AA153" s="9" t="n">
        <f aca="false">P147-$AA$4</f>
        <v>3.9425103598513</v>
      </c>
      <c r="AB153" s="9" t="n">
        <f aca="false">Q147-$AB$4</f>
        <v>3.64057850683744</v>
      </c>
    </row>
    <row r="154" customFormat="false" ht="15.75" hidden="false" customHeight="false" outlineLevel="0" collapsed="false">
      <c r="A154" s="7" t="n">
        <v>45513</v>
      </c>
      <c r="B154" s="8" t="n">
        <v>2948.3</v>
      </c>
      <c r="C154" s="9" t="n">
        <v>4228.75</v>
      </c>
      <c r="D154" s="9" t="n">
        <v>2749.15</v>
      </c>
      <c r="E154" s="8" t="n">
        <v>2504.7</v>
      </c>
      <c r="F154" s="9" t="n">
        <v>1464.1</v>
      </c>
      <c r="G154" s="11" t="n">
        <v>1380.65</v>
      </c>
      <c r="H154" s="12" t="n">
        <v>0.618025316</v>
      </c>
      <c r="I154" s="12"/>
      <c r="J154" s="12"/>
      <c r="K154" s="8" t="n">
        <f aca="false">((B154-B153)/B153)*100</f>
        <v>1.82351925401486</v>
      </c>
      <c r="L154" s="8" t="n">
        <f aca="false">((C154-C153)/C153)*100</f>
        <v>1.34689817977016</v>
      </c>
      <c r="M154" s="8" t="n">
        <f aca="false">((D154-D153)/D153)*100</f>
        <v>2.46743323580388</v>
      </c>
      <c r="N154" s="8" t="n">
        <f aca="false">((E154-E153)/E153)*100</f>
        <v>0.626732553935154</v>
      </c>
      <c r="O154" s="8" t="n">
        <f aca="false">((F154-F153)/F153)*100</f>
        <v>0.847224135555859</v>
      </c>
      <c r="P154" s="8" t="n">
        <f aca="false">((G154-G153)/G153)*100</f>
        <v>1.14652014652015</v>
      </c>
      <c r="Q154" s="8" t="n">
        <f aca="false">((H154-H153)/H153)*100</f>
        <v>2.20163432769543</v>
      </c>
      <c r="S154" s="9"/>
      <c r="V154" s="9" t="n">
        <f aca="false">K148-$V$4</f>
        <v>0.727941817498501</v>
      </c>
      <c r="W154" s="9" t="n">
        <f aca="false">L148-$W$4</f>
        <v>0.230318264093052</v>
      </c>
      <c r="X154" s="9" t="n">
        <f aca="false">M148-$X$4</f>
        <v>-2.97936030763628</v>
      </c>
      <c r="Y154" s="9" t="n">
        <f aca="false">N148-$Y$4</f>
        <v>1.21215019189608</v>
      </c>
      <c r="Z154" s="9" t="n">
        <f aca="false">O148-$Z$4</f>
        <v>0.743246850475279</v>
      </c>
      <c r="AA154" s="9" t="n">
        <f aca="false">P148-$AA$4</f>
        <v>0.949688876788987</v>
      </c>
      <c r="AB154" s="9" t="n">
        <f aca="false">Q148-$AB$4</f>
        <v>-1.18867800948212</v>
      </c>
    </row>
    <row r="155" customFormat="false" ht="15.75" hidden="false" customHeight="false" outlineLevel="0" collapsed="false">
      <c r="A155" s="7" t="n">
        <v>45516</v>
      </c>
      <c r="B155" s="8" t="n">
        <v>2921.5</v>
      </c>
      <c r="C155" s="9" t="n">
        <v>4195.65</v>
      </c>
      <c r="D155" s="9" t="n">
        <v>2717.65</v>
      </c>
      <c r="E155" s="8" t="n">
        <v>2473.1</v>
      </c>
      <c r="F155" s="9" t="n">
        <v>1458.6</v>
      </c>
      <c r="G155" s="11" t="n">
        <v>1367.65</v>
      </c>
      <c r="H155" s="12" t="n">
        <v>0.552884306</v>
      </c>
      <c r="I155" s="12"/>
      <c r="J155" s="12"/>
      <c r="K155" s="8" t="n">
        <f aca="false">((B155-B154)/B154)*100</f>
        <v>-0.908998405861011</v>
      </c>
      <c r="L155" s="8" t="n">
        <f aca="false">((C155-C154)/C154)*100</f>
        <v>-0.782737215489219</v>
      </c>
      <c r="M155" s="8" t="n">
        <f aca="false">((D155-D154)/D154)*100</f>
        <v>-1.14580870450867</v>
      </c>
      <c r="N155" s="8" t="n">
        <f aca="false">((E155-E154)/E154)*100</f>
        <v>-1.26162813909849</v>
      </c>
      <c r="O155" s="8" t="n">
        <f aca="false">((F155-F154)/F154)*100</f>
        <v>-0.375657400450789</v>
      </c>
      <c r="P155" s="8" t="n">
        <f aca="false">((G155-G154)/G154)*100</f>
        <v>-0.941585485097599</v>
      </c>
      <c r="Q155" s="8" t="n">
        <f aca="false">((H155-H154)/H154)*100</f>
        <v>-10.5401847324973</v>
      </c>
      <c r="S155" s="9"/>
      <c r="V155" s="9" t="n">
        <f aca="false">K149-$V$4</f>
        <v>-1.08136798487743</v>
      </c>
      <c r="W155" s="9" t="n">
        <f aca="false">L149-$W$4</f>
        <v>-2.63137427562334</v>
      </c>
      <c r="X155" s="9" t="n">
        <f aca="false">M149-$X$4</f>
        <v>-3.03303326188923</v>
      </c>
      <c r="Y155" s="9" t="n">
        <f aca="false">N149-$Y$4</f>
        <v>0.533356177879948</v>
      </c>
      <c r="Z155" s="9" t="n">
        <f aca="false">O149-$Z$4</f>
        <v>-0.969172278112729</v>
      </c>
      <c r="AA155" s="9" t="n">
        <f aca="false">P149-$AA$4</f>
        <v>-0.819560168862514</v>
      </c>
      <c r="AB155" s="9" t="n">
        <f aca="false">Q149-$AB$4</f>
        <v>-5.10795359405191</v>
      </c>
    </row>
    <row r="156" customFormat="false" ht="15.75" hidden="false" customHeight="false" outlineLevel="0" collapsed="false">
      <c r="A156" s="7" t="n">
        <v>45517</v>
      </c>
      <c r="B156" s="8" t="n">
        <v>2926.9</v>
      </c>
      <c r="C156" s="9" t="n">
        <v>4196.95</v>
      </c>
      <c r="D156" s="9" t="n">
        <v>2718.05</v>
      </c>
      <c r="E156" s="8" t="n">
        <v>2484.7</v>
      </c>
      <c r="F156" s="9" t="n">
        <v>1459.7</v>
      </c>
      <c r="G156" s="11" t="n">
        <v>1362.65</v>
      </c>
      <c r="H156" s="12" t="n">
        <v>0.568612154</v>
      </c>
      <c r="I156" s="12"/>
      <c r="J156" s="12"/>
      <c r="K156" s="8" t="n">
        <f aca="false">((B156-B155)/B155)*100</f>
        <v>0.184836556563412</v>
      </c>
      <c r="L156" s="8" t="n">
        <f aca="false">((C156-C155)/C155)*100</f>
        <v>0.0309844720126841</v>
      </c>
      <c r="M156" s="8" t="n">
        <f aca="false">((D156-D155)/D155)*100</f>
        <v>0.0147185987893986</v>
      </c>
      <c r="N156" s="8" t="n">
        <f aca="false">((E156-E155)/E155)*100</f>
        <v>0.469046945129591</v>
      </c>
      <c r="O156" s="8" t="n">
        <f aca="false">((F156-F155)/F155)*100</f>
        <v>0.0754147812971436</v>
      </c>
      <c r="P156" s="8" t="n">
        <f aca="false">((G156-G155)/G155)*100</f>
        <v>-0.365590611633093</v>
      </c>
      <c r="Q156" s="8" t="n">
        <f aca="false">((H156-H155)/H155)*100</f>
        <v>2.8446906214046</v>
      </c>
      <c r="S156" s="9"/>
      <c r="V156" s="9" t="n">
        <f aca="false">K150-$V$4</f>
        <v>-3.4447446465952</v>
      </c>
      <c r="W156" s="9" t="n">
        <f aca="false">L150-$W$4</f>
        <v>-3.02614383350473</v>
      </c>
      <c r="X156" s="9" t="n">
        <f aca="false">M150-$X$4</f>
        <v>-2.82000994895956</v>
      </c>
      <c r="Y156" s="9" t="n">
        <f aca="false">N150-$Y$4</f>
        <v>0.719737427157528</v>
      </c>
      <c r="Z156" s="9" t="n">
        <f aca="false">O150-$Z$4</f>
        <v>-2.0731304118962</v>
      </c>
      <c r="AA156" s="9" t="n">
        <f aca="false">P150-$AA$4</f>
        <v>-0.776033229780164</v>
      </c>
      <c r="AB156" s="9" t="n">
        <f aca="false">Q150-$AB$4</f>
        <v>-13.0003408157522</v>
      </c>
    </row>
    <row r="157" customFormat="false" ht="15.75" hidden="false" customHeight="false" outlineLevel="0" collapsed="false">
      <c r="A157" s="7" t="n">
        <v>45518</v>
      </c>
      <c r="B157" s="8" t="n">
        <v>2922.65</v>
      </c>
      <c r="C157" s="9" t="n">
        <v>4295.25</v>
      </c>
      <c r="D157" s="9" t="n">
        <v>2745.25</v>
      </c>
      <c r="E157" s="8" t="n">
        <v>2474.6</v>
      </c>
      <c r="F157" s="9" t="n">
        <v>1471.7</v>
      </c>
      <c r="G157" s="11" t="n">
        <v>1367.65</v>
      </c>
      <c r="H157" s="12" t="n">
        <v>0.576439794</v>
      </c>
      <c r="I157" s="12"/>
      <c r="J157" s="12"/>
      <c r="K157" s="8" t="n">
        <f aca="false">((B157-B156)/B156)*100</f>
        <v>-0.145204824216748</v>
      </c>
      <c r="L157" s="8" t="n">
        <f aca="false">((C157-C156)/C156)*100</f>
        <v>2.34217705714865</v>
      </c>
      <c r="M157" s="8" t="n">
        <f aca="false">((D157-D156)/D156)*100</f>
        <v>1.00071742609591</v>
      </c>
      <c r="N157" s="8" t="n">
        <f aca="false">((E157-E156)/E156)*100</f>
        <v>-0.406487704753085</v>
      </c>
      <c r="O157" s="8" t="n">
        <f aca="false">((F157-F156)/F156)*100</f>
        <v>0.822086730150031</v>
      </c>
      <c r="P157" s="8" t="n">
        <f aca="false">((G157-G156)/G156)*100</f>
        <v>0.366932080871831</v>
      </c>
      <c r="Q157" s="8" t="n">
        <f aca="false">((H157-H156)/H156)*100</f>
        <v>1.37662199883262</v>
      </c>
      <c r="S157" s="9"/>
      <c r="V157" s="9" t="n">
        <f aca="false">K151-$V$4</f>
        <v>0.606111207123867</v>
      </c>
      <c r="W157" s="9" t="n">
        <f aca="false">L151-$W$4</f>
        <v>0.351064349262697</v>
      </c>
      <c r="X157" s="9" t="n">
        <f aca="false">M151-$X$4</f>
        <v>-1.96586426097707</v>
      </c>
      <c r="Y157" s="9" t="n">
        <f aca="false">N151-$Y$4</f>
        <v>-0.00908698250117708</v>
      </c>
      <c r="Z157" s="9" t="n">
        <f aca="false">O151-$Z$4</f>
        <v>-1.70324513602675</v>
      </c>
      <c r="AA157" s="9" t="n">
        <f aca="false">P151-$AA$4</f>
        <v>-1.5588505015977</v>
      </c>
      <c r="AB157" s="9" t="n">
        <f aca="false">Q151-$AB$4</f>
        <v>-6.93983595013729</v>
      </c>
    </row>
    <row r="158" customFormat="false" ht="15.75" hidden="false" customHeight="false" outlineLevel="0" collapsed="false">
      <c r="A158" s="7" t="n">
        <v>45520</v>
      </c>
      <c r="B158" s="8" t="n">
        <v>2956.15</v>
      </c>
      <c r="C158" s="9" t="n">
        <v>4416.05</v>
      </c>
      <c r="D158" s="9" t="n">
        <v>2840.45</v>
      </c>
      <c r="E158" s="8" t="n">
        <v>2525.45</v>
      </c>
      <c r="F158" s="9" t="n">
        <v>1483.55</v>
      </c>
      <c r="G158" s="11" t="n">
        <v>1367.35</v>
      </c>
      <c r="H158" s="12" t="n">
        <v>0.561136707</v>
      </c>
      <c r="I158" s="12"/>
      <c r="J158" s="12"/>
      <c r="K158" s="8" t="n">
        <f aca="false">((B158-B157)/B157)*100</f>
        <v>1.14622004003216</v>
      </c>
      <c r="L158" s="8" t="n">
        <f aca="false">((C158-C157)/C157)*100</f>
        <v>2.81240905651592</v>
      </c>
      <c r="M158" s="8" t="n">
        <f aca="false">((D158-D157)/D157)*100</f>
        <v>3.46780803205536</v>
      </c>
      <c r="N158" s="8" t="n">
        <f aca="false">((E158-E157)/E157)*100</f>
        <v>2.05487755596864</v>
      </c>
      <c r="O158" s="8" t="n">
        <f aca="false">((F158-F157)/F157)*100</f>
        <v>0.805191275395795</v>
      </c>
      <c r="P158" s="8" t="n">
        <f aca="false">((G158-G157)/G157)*100</f>
        <v>-0.0219354366979989</v>
      </c>
      <c r="Q158" s="8" t="n">
        <f aca="false">((H158-H157)/H157)*100</f>
        <v>-2.65475894608346</v>
      </c>
      <c r="S158" s="9"/>
      <c r="V158" s="9" t="n">
        <f aca="false">K152-$V$4</f>
        <v>0.612944930274811</v>
      </c>
      <c r="W158" s="9" t="n">
        <f aca="false">L152-$W$4</f>
        <v>0.663617753331616</v>
      </c>
      <c r="X158" s="9" t="n">
        <f aca="false">M152-$X$4</f>
        <v>1.57047855983052</v>
      </c>
      <c r="Y158" s="9" t="n">
        <f aca="false">N152-$Y$4</f>
        <v>0.656558064412607</v>
      </c>
      <c r="Z158" s="9" t="n">
        <f aca="false">O152-$Z$4</f>
        <v>-0.316714427865524</v>
      </c>
      <c r="AA158" s="9" t="n">
        <f aca="false">P152-$AA$4</f>
        <v>1.98250345032018</v>
      </c>
      <c r="AB158" s="9" t="n">
        <f aca="false">Q152-$AB$4</f>
        <v>2.24352877462294</v>
      </c>
    </row>
    <row r="159" customFormat="false" ht="15.75" hidden="false" customHeight="false" outlineLevel="0" collapsed="false">
      <c r="A159" s="7" t="n">
        <v>45523</v>
      </c>
      <c r="B159" s="8" t="n">
        <v>2977.2</v>
      </c>
      <c r="C159" s="9" t="n">
        <v>4490</v>
      </c>
      <c r="D159" s="9" t="n">
        <v>2765.15</v>
      </c>
      <c r="E159" s="8" t="n">
        <v>2503.15</v>
      </c>
      <c r="F159" s="9" t="n">
        <v>1469.65</v>
      </c>
      <c r="G159" s="11" t="n">
        <v>1400</v>
      </c>
      <c r="H159" s="12" t="n">
        <v>0.564140262</v>
      </c>
      <c r="I159" s="12"/>
      <c r="J159" s="12"/>
      <c r="K159" s="8" t="n">
        <f aca="false">((B159-B158)/B158)*100</f>
        <v>0.712074827055451</v>
      </c>
      <c r="L159" s="8" t="n">
        <f aca="false">((C159-C158)/C158)*100</f>
        <v>1.67457343100734</v>
      </c>
      <c r="M159" s="8" t="n">
        <f aca="false">((D159-D158)/D158)*100</f>
        <v>-2.65098839972539</v>
      </c>
      <c r="N159" s="8" t="n">
        <f aca="false">((E159-E158)/E158)*100</f>
        <v>-0.883010948543813</v>
      </c>
      <c r="O159" s="8" t="n">
        <f aca="false">((F159-F158)/F158)*100</f>
        <v>-0.936941795018696</v>
      </c>
      <c r="P159" s="8" t="n">
        <f aca="false">((G159-G158)/G158)*100</f>
        <v>2.38783047500641</v>
      </c>
      <c r="Q159" s="8" t="n">
        <f aca="false">((H159-H158)/H158)*100</f>
        <v>0.535262612930444</v>
      </c>
      <c r="S159" s="9"/>
      <c r="V159" s="9" t="n">
        <f aca="false">K153-$V$4</f>
        <v>-1.13510835804594</v>
      </c>
      <c r="W159" s="9" t="n">
        <f aca="false">L153-$W$4</f>
        <v>-0.701833849194769</v>
      </c>
      <c r="X159" s="9" t="n">
        <f aca="false">M153-$X$4</f>
        <v>-0.170440245371109</v>
      </c>
      <c r="Y159" s="9" t="n">
        <f aca="false">N153-$Y$4</f>
        <v>-1.24932107130795</v>
      </c>
      <c r="Z159" s="9" t="n">
        <f aca="false">O153-$Z$4</f>
        <v>0.505047703796273</v>
      </c>
      <c r="AA159" s="9" t="n">
        <f aca="false">P153-$AA$4</f>
        <v>-0.815911746569409</v>
      </c>
      <c r="AB159" s="9" t="n">
        <f aca="false">Q153-$AB$4</f>
        <v>19.1637591137612</v>
      </c>
    </row>
    <row r="160" customFormat="false" ht="15.75" hidden="false" customHeight="false" outlineLevel="0" collapsed="false">
      <c r="A160" s="7" t="n">
        <v>45524</v>
      </c>
      <c r="B160" s="8" t="n">
        <v>2993.35</v>
      </c>
      <c r="C160" s="9" t="n">
        <v>4523.3</v>
      </c>
      <c r="D160" s="9" t="n">
        <v>2771.3</v>
      </c>
      <c r="E160" s="8" t="n">
        <v>2518.5</v>
      </c>
      <c r="F160" s="9" t="n">
        <v>1449.15</v>
      </c>
      <c r="G160" s="11" t="n">
        <v>1411.5</v>
      </c>
      <c r="H160" s="12" t="n">
        <v>0.599114192</v>
      </c>
      <c r="I160" s="12"/>
      <c r="J160" s="12"/>
      <c r="K160" s="8" t="n">
        <f aca="false">((B160-B159)/B159)*100</f>
        <v>0.542455998925168</v>
      </c>
      <c r="L160" s="8" t="n">
        <f aca="false">((C160-C159)/C159)*100</f>
        <v>0.741648106904236</v>
      </c>
      <c r="M160" s="8" t="n">
        <f aca="false">((D160-D159)/D159)*100</f>
        <v>0.222411080773198</v>
      </c>
      <c r="N160" s="8" t="n">
        <f aca="false">((E160-E159)/E159)*100</f>
        <v>0.613227333559711</v>
      </c>
      <c r="O160" s="8" t="n">
        <f aca="false">((F160-F159)/F159)*100</f>
        <v>-1.39488993978158</v>
      </c>
      <c r="P160" s="8" t="n">
        <f aca="false">((G160-G159)/G159)*100</f>
        <v>0.821428571428571</v>
      </c>
      <c r="Q160" s="8" t="n">
        <f aca="false">((H160-H159)/H159)*100</f>
        <v>6.19950965315077</v>
      </c>
      <c r="S160" s="9"/>
      <c r="V160" s="9" t="n">
        <f aca="false">K154-$V$4</f>
        <v>1.83889566996864</v>
      </c>
      <c r="W160" s="9" t="n">
        <f aca="false">L154-$W$4</f>
        <v>1.30927887901662</v>
      </c>
      <c r="X160" s="9" t="n">
        <f aca="false">M154-$X$4</f>
        <v>2.21865962601478</v>
      </c>
      <c r="Y160" s="9" t="n">
        <f aca="false">N154-$Y$4</f>
        <v>0.713228828433462</v>
      </c>
      <c r="Z160" s="9" t="n">
        <f aca="false">O154-$Z$4</f>
        <v>0.655202305799161</v>
      </c>
      <c r="AA160" s="9" t="n">
        <f aca="false">P154-$AA$4</f>
        <v>1.16606063387737</v>
      </c>
      <c r="AB160" s="9" t="n">
        <f aca="false">Q154-$AB$4</f>
        <v>1.52237661129228</v>
      </c>
    </row>
    <row r="161" customFormat="false" ht="15.75" hidden="false" customHeight="false" outlineLevel="0" collapsed="false">
      <c r="A161" s="7" t="n">
        <v>45525</v>
      </c>
      <c r="B161" s="8" t="n">
        <v>2996.55</v>
      </c>
      <c r="C161" s="9" t="n">
        <v>4551.5</v>
      </c>
      <c r="D161" s="9" t="n">
        <v>2769.4</v>
      </c>
      <c r="E161" s="8" t="n">
        <v>2551.75</v>
      </c>
      <c r="F161" s="9" t="n">
        <v>1463.45</v>
      </c>
      <c r="G161" s="11" t="n">
        <v>1428.5</v>
      </c>
      <c r="H161" s="12" t="n">
        <v>0.594394755</v>
      </c>
      <c r="I161" s="12"/>
      <c r="J161" s="12"/>
      <c r="K161" s="8" t="n">
        <f aca="false">((B161-B160)/B160)*100</f>
        <v>0.106903636394016</v>
      </c>
      <c r="L161" s="8" t="n">
        <f aca="false">((C161-C160)/C160)*100</f>
        <v>0.62343863993102</v>
      </c>
      <c r="M161" s="8" t="n">
        <f aca="false">((D161-D160)/D160)*100</f>
        <v>-0.0685598816439971</v>
      </c>
      <c r="N161" s="8" t="n">
        <f aca="false">((E161-E160)/E160)*100</f>
        <v>1.320230295811</v>
      </c>
      <c r="O161" s="8" t="n">
        <f aca="false">((F161-F160)/F160)*100</f>
        <v>0.986785356933372</v>
      </c>
      <c r="P161" s="8" t="n">
        <f aca="false">((G161-G160)/G160)*100</f>
        <v>1.20439249025859</v>
      </c>
      <c r="Q161" s="8" t="n">
        <f aca="false">((H161-H160)/H160)*100</f>
        <v>-0.787735804462464</v>
      </c>
      <c r="S161" s="9"/>
      <c r="V161" s="9" t="n">
        <f aca="false">K155-$V$4</f>
        <v>-0.893621989907226</v>
      </c>
      <c r="W161" s="9" t="n">
        <f aca="false">L155-$W$4</f>
        <v>-0.820356516242759</v>
      </c>
      <c r="X161" s="9" t="n">
        <f aca="false">M155-$X$4</f>
        <v>-1.39458231429777</v>
      </c>
      <c r="Y161" s="9" t="n">
        <f aca="false">N155-$Y$4</f>
        <v>-1.17513186460018</v>
      </c>
      <c r="Z161" s="9" t="n">
        <f aca="false">O155-$Z$4</f>
        <v>-0.567679230207487</v>
      </c>
      <c r="AA161" s="9" t="n">
        <f aca="false">P155-$AA$4</f>
        <v>-0.922044997740382</v>
      </c>
      <c r="AB161" s="9" t="n">
        <f aca="false">Q155-$AB$4</f>
        <v>-11.2194424489004</v>
      </c>
    </row>
    <row r="162" customFormat="false" ht="15.75" hidden="false" customHeight="false" outlineLevel="0" collapsed="false">
      <c r="A162" s="7" t="n">
        <v>45526</v>
      </c>
      <c r="B162" s="8" t="n">
        <v>2995.1</v>
      </c>
      <c r="C162" s="9" t="n">
        <v>4502</v>
      </c>
      <c r="D162" s="9" t="n">
        <v>2732.95</v>
      </c>
      <c r="E162" s="8" t="n">
        <v>2551</v>
      </c>
      <c r="F162" s="9" t="n">
        <v>1486.35</v>
      </c>
      <c r="G162" s="11" t="n">
        <v>1411</v>
      </c>
      <c r="H162" s="12" t="n">
        <v>0.600397067</v>
      </c>
      <c r="I162" s="12"/>
      <c r="J162" s="12"/>
      <c r="K162" s="8" t="n">
        <f aca="false">((B162-B161)/B161)*100</f>
        <v>-0.0483889806611027</v>
      </c>
      <c r="L162" s="8" t="n">
        <f aca="false">((C162-C161)/C161)*100</f>
        <v>-1.08755355377348</v>
      </c>
      <c r="M162" s="8" t="n">
        <f aca="false">((D162-D161)/D161)*100</f>
        <v>-1.31616956741533</v>
      </c>
      <c r="N162" s="8" t="n">
        <f aca="false">((E162-E161)/E161)*100</f>
        <v>-0.0293915940041148</v>
      </c>
      <c r="O162" s="8" t="n">
        <f aca="false">((F162-F161)/F161)*100</f>
        <v>1.56479551744165</v>
      </c>
      <c r="P162" s="8" t="n">
        <f aca="false">((G162-G161)/G161)*100</f>
        <v>-1.22506125306265</v>
      </c>
      <c r="Q162" s="8" t="n">
        <f aca="false">((H162-H161)/H161)*100</f>
        <v>1.00981913947069</v>
      </c>
      <c r="S162" s="9"/>
      <c r="V162" s="9" t="n">
        <f aca="false">K156-$V$4</f>
        <v>0.200212972517197</v>
      </c>
      <c r="W162" s="9" t="n">
        <f aca="false">L156-$W$4</f>
        <v>-0.00663482874085532</v>
      </c>
      <c r="X162" s="9" t="n">
        <f aca="false">M156-$X$4</f>
        <v>-0.234055010999709</v>
      </c>
      <c r="Y162" s="9" t="n">
        <f aca="false">N156-$Y$4</f>
        <v>0.5555432196279</v>
      </c>
      <c r="Z162" s="9" t="n">
        <f aca="false">O156-$Z$4</f>
        <v>-0.116607048459554</v>
      </c>
      <c r="AA162" s="9" t="n">
        <f aca="false">P156-$AA$4</f>
        <v>-0.346050124275877</v>
      </c>
      <c r="AB162" s="9" t="n">
        <f aca="false">Q156-$AB$4</f>
        <v>2.16543290500146</v>
      </c>
    </row>
    <row r="163" customFormat="false" ht="15.75" hidden="false" customHeight="false" outlineLevel="0" collapsed="false">
      <c r="A163" s="7" t="n">
        <v>45527</v>
      </c>
      <c r="B163" s="8" t="n">
        <v>2999.95</v>
      </c>
      <c r="C163" s="9" t="n">
        <v>4463.9</v>
      </c>
      <c r="D163" s="9" t="n">
        <v>2759</v>
      </c>
      <c r="E163" s="8" t="n">
        <v>2529.2</v>
      </c>
      <c r="F163" s="9" t="n">
        <v>1506.75</v>
      </c>
      <c r="G163" s="11" t="n">
        <v>1410</v>
      </c>
      <c r="H163" s="12" t="n">
        <v>0.597687119</v>
      </c>
      <c r="I163" s="12"/>
      <c r="J163" s="12"/>
      <c r="K163" s="8" t="n">
        <f aca="false">((B163-B162)/B162)*100</f>
        <v>0.161931154218554</v>
      </c>
      <c r="L163" s="8" t="n">
        <f aca="false">((C163-C162)/C162)*100</f>
        <v>-0.84629053753888</v>
      </c>
      <c r="M163" s="8" t="n">
        <f aca="false">((D163-D162)/D162)*100</f>
        <v>0.95318245851553</v>
      </c>
      <c r="N163" s="8" t="n">
        <f aca="false">((E163-E162)/E162)*100</f>
        <v>-0.854566836534699</v>
      </c>
      <c r="O163" s="8" t="n">
        <f aca="false">((F163-F162)/F162)*100</f>
        <v>1.37248965586841</v>
      </c>
      <c r="P163" s="8" t="n">
        <f aca="false">((G163-G162)/G162)*100</f>
        <v>-0.070871722182849</v>
      </c>
      <c r="Q163" s="8" t="n">
        <f aca="false">((H163-H162)/H162)*100</f>
        <v>-0.451359300194567</v>
      </c>
      <c r="S163" s="9"/>
      <c r="V163" s="9" t="n">
        <f aca="false">K157-$V$4</f>
        <v>-0.129828408262964</v>
      </c>
      <c r="W163" s="9" t="n">
        <f aca="false">L157-$W$4</f>
        <v>2.30455775639511</v>
      </c>
      <c r="X163" s="9" t="n">
        <f aca="false">M157-$X$4</f>
        <v>0.7519438163068</v>
      </c>
      <c r="Y163" s="9" t="n">
        <f aca="false">N157-$Y$4</f>
        <v>-0.319991430254777</v>
      </c>
      <c r="Z163" s="9" t="n">
        <f aca="false">O157-$Z$4</f>
        <v>0.630064900393333</v>
      </c>
      <c r="AA163" s="9" t="n">
        <f aca="false">P157-$AA$4</f>
        <v>0.386472568229047</v>
      </c>
      <c r="AB163" s="9" t="n">
        <f aca="false">Q157-$AB$4</f>
        <v>0.697364282429473</v>
      </c>
    </row>
    <row r="164" customFormat="false" ht="15.75" hidden="false" customHeight="false" outlineLevel="0" collapsed="false">
      <c r="A164" s="7" t="n">
        <v>45530</v>
      </c>
      <c r="B164" s="8" t="n">
        <v>3024.15</v>
      </c>
      <c r="C164" s="9" t="n">
        <v>4502.45</v>
      </c>
      <c r="D164" s="9" t="n">
        <v>2793.1</v>
      </c>
      <c r="E164" s="8" t="n">
        <v>2519.55</v>
      </c>
      <c r="F164" s="9" t="n">
        <v>1513.55</v>
      </c>
      <c r="G164" s="11" t="n">
        <v>1421</v>
      </c>
      <c r="H164" s="12" t="n">
        <v>0.599512758</v>
      </c>
      <c r="I164" s="12"/>
      <c r="J164" s="12"/>
      <c r="K164" s="8" t="n">
        <f aca="false">((B164-B163)/B163)*100</f>
        <v>0.806680111335198</v>
      </c>
      <c r="L164" s="8" t="n">
        <f aca="false">((C164-C163)/C163)*100</f>
        <v>0.863594614574703</v>
      </c>
      <c r="M164" s="8" t="n">
        <f aca="false">((D164-D163)/D163)*100</f>
        <v>1.23595505617977</v>
      </c>
      <c r="N164" s="8" t="n">
        <f aca="false">((E164-E163)/E163)*100</f>
        <v>-0.381543571089658</v>
      </c>
      <c r="O164" s="8" t="n">
        <f aca="false">((F164-F163)/F163)*100</f>
        <v>0.451302472208393</v>
      </c>
      <c r="P164" s="8" t="n">
        <f aca="false">((G164-G163)/G163)*100</f>
        <v>0.780141843971631</v>
      </c>
      <c r="Q164" s="8" t="n">
        <f aca="false">((H164-H163)/H163)*100</f>
        <v>0.305450618218859</v>
      </c>
      <c r="S164" s="9"/>
      <c r="V164" s="9" t="n">
        <f aca="false">K158-$V$4</f>
        <v>1.16159645598595</v>
      </c>
      <c r="W164" s="9" t="n">
        <f aca="false">L158-$W$4</f>
        <v>2.77478975576238</v>
      </c>
      <c r="X164" s="9" t="n">
        <f aca="false">M158-$X$4</f>
        <v>3.21903442226625</v>
      </c>
      <c r="Y164" s="9" t="n">
        <f aca="false">N158-$Y$4</f>
        <v>2.14137383046695</v>
      </c>
      <c r="Z164" s="9" t="n">
        <f aca="false">O158-$Z$4</f>
        <v>0.613169445639097</v>
      </c>
      <c r="AA164" s="9" t="n">
        <f aca="false">P158-$AA$4</f>
        <v>-0.00239494934078217</v>
      </c>
      <c r="AB164" s="9" t="n">
        <f aca="false">Q158-$AB$4</f>
        <v>-3.33401666248661</v>
      </c>
    </row>
    <row r="165" customFormat="false" ht="15.75" hidden="false" customHeight="false" outlineLevel="0" collapsed="false">
      <c r="A165" s="7" t="n">
        <v>45531</v>
      </c>
      <c r="B165" s="8" t="n">
        <v>3000.45</v>
      </c>
      <c r="C165" s="9" t="n">
        <v>4497.15</v>
      </c>
      <c r="D165" s="9" t="n">
        <v>2780.8</v>
      </c>
      <c r="E165" s="8" t="n">
        <v>2521.45</v>
      </c>
      <c r="F165" s="9" t="n">
        <v>1522.75</v>
      </c>
      <c r="G165" s="11" t="n">
        <v>1422.5</v>
      </c>
      <c r="H165" s="12" t="n">
        <v>0.587279017</v>
      </c>
      <c r="I165" s="12"/>
      <c r="J165" s="12"/>
      <c r="K165" s="8" t="n">
        <f aca="false">((B165-B164)/B164)*100</f>
        <v>-0.783691285154515</v>
      </c>
      <c r="L165" s="8" t="n">
        <f aca="false">((C165-C164)/C164)*100</f>
        <v>-0.117713689213654</v>
      </c>
      <c r="M165" s="8" t="n">
        <f aca="false">((D165-D164)/D164)*100</f>
        <v>-0.440370914038156</v>
      </c>
      <c r="N165" s="8" t="n">
        <f aca="false">((E165-E164)/E164)*100</f>
        <v>0.0754102915202967</v>
      </c>
      <c r="O165" s="8" t="n">
        <f aca="false">((F165-F164)/F164)*100</f>
        <v>0.607842489511417</v>
      </c>
      <c r="P165" s="8" t="n">
        <f aca="false">((G165-G164)/G164)*100</f>
        <v>0.105559465165377</v>
      </c>
      <c r="Q165" s="8" t="n">
        <f aca="false">((H165-H164)/H164)*100</f>
        <v>-2.04061395470755</v>
      </c>
      <c r="S165" s="9"/>
      <c r="V165" s="9" t="n">
        <f aca="false">K159-$V$4</f>
        <v>0.727451243009236</v>
      </c>
      <c r="W165" s="9" t="n">
        <f aca="false">L159-$W$4</f>
        <v>1.6369541302538</v>
      </c>
      <c r="X165" s="9" t="n">
        <f aca="false">M159-$X$4</f>
        <v>-2.89976200951449</v>
      </c>
      <c r="Y165" s="9" t="n">
        <f aca="false">N159-$Y$4</f>
        <v>-0.796514674045504</v>
      </c>
      <c r="Z165" s="9" t="n">
        <f aca="false">O159-$Z$4</f>
        <v>-1.12896362477539</v>
      </c>
      <c r="AA165" s="9" t="n">
        <f aca="false">P159-$AA$4</f>
        <v>2.40737096236362</v>
      </c>
      <c r="AB165" s="9" t="n">
        <f aca="false">Q159-$AB$4</f>
        <v>-0.143995103472705</v>
      </c>
    </row>
    <row r="166" customFormat="false" ht="15.75" hidden="false" customHeight="false" outlineLevel="0" collapsed="false">
      <c r="A166" s="7" t="n">
        <v>45532</v>
      </c>
      <c r="B166" s="8" t="n">
        <v>2995.75</v>
      </c>
      <c r="C166" s="9" t="n">
        <v>4506.05</v>
      </c>
      <c r="D166" s="9" t="n">
        <v>2798</v>
      </c>
      <c r="E166" s="8" t="n">
        <v>2492.5</v>
      </c>
      <c r="F166" s="9" t="n">
        <v>1556.35</v>
      </c>
      <c r="G166" s="11" t="n">
        <v>1426.65</v>
      </c>
      <c r="H166" s="12" t="n">
        <v>0.567025225</v>
      </c>
      <c r="I166" s="12"/>
      <c r="J166" s="12"/>
      <c r="K166" s="8" t="n">
        <f aca="false">((B166-B165)/B165)*100</f>
        <v>-0.156643170191132</v>
      </c>
      <c r="L166" s="8" t="n">
        <f aca="false">((C166-C165)/C165)*100</f>
        <v>0.197903116418188</v>
      </c>
      <c r="M166" s="8" t="n">
        <f aca="false">((D166-D165)/D165)*100</f>
        <v>0.618527042577669</v>
      </c>
      <c r="N166" s="8" t="n">
        <f aca="false">((E166-E165)/E165)*100</f>
        <v>-1.14814888258739</v>
      </c>
      <c r="O166" s="8" t="n">
        <f aca="false">((F166-F165)/F165)*100</f>
        <v>2.20653423083237</v>
      </c>
      <c r="P166" s="8" t="n">
        <f aca="false">((G166-G165)/G165)*100</f>
        <v>0.291739894551852</v>
      </c>
      <c r="Q166" s="8" t="n">
        <f aca="false">((H166-H165)/H165)*100</f>
        <v>-3.44875117511648</v>
      </c>
      <c r="S166" s="9"/>
      <c r="V166" s="9" t="n">
        <f aca="false">K160-$V$4</f>
        <v>0.557832414878952</v>
      </c>
      <c r="W166" s="9" t="n">
        <f aca="false">L160-$W$4</f>
        <v>0.704028806150696</v>
      </c>
      <c r="X166" s="9" t="n">
        <f aca="false">M160-$X$4</f>
        <v>-0.0263625290159091</v>
      </c>
      <c r="Y166" s="9" t="n">
        <f aca="false">N160-$Y$4</f>
        <v>0.69972360805802</v>
      </c>
      <c r="Z166" s="9" t="n">
        <f aca="false">O160-$Z$4</f>
        <v>-1.58691176953828</v>
      </c>
      <c r="AA166" s="9" t="n">
        <f aca="false">P160-$AA$4</f>
        <v>0.840969058785788</v>
      </c>
      <c r="AB166" s="9" t="n">
        <f aca="false">Q160-$AB$4</f>
        <v>5.52025193674762</v>
      </c>
    </row>
    <row r="167" customFormat="false" ht="15.75" hidden="false" customHeight="false" outlineLevel="0" collapsed="false">
      <c r="A167" s="7" t="n">
        <v>45533</v>
      </c>
      <c r="B167" s="8" t="n">
        <v>3040.85</v>
      </c>
      <c r="C167" s="9" t="n">
        <v>4511.8</v>
      </c>
      <c r="D167" s="9" t="n">
        <v>2757.6</v>
      </c>
      <c r="E167" s="8" t="n">
        <v>2504.55</v>
      </c>
      <c r="F167" s="9" t="n">
        <v>1565.9</v>
      </c>
      <c r="G167" s="11" t="n">
        <v>1428.35</v>
      </c>
      <c r="H167" s="12" t="n">
        <v>0.569699328</v>
      </c>
      <c r="I167" s="12"/>
      <c r="J167" s="12"/>
      <c r="K167" s="8" t="n">
        <f aca="false">((B167-B166)/B166)*100</f>
        <v>1.50546607694233</v>
      </c>
      <c r="L167" s="8" t="n">
        <f aca="false">((C167-C166)/C166)*100</f>
        <v>0.127606218306499</v>
      </c>
      <c r="M167" s="8" t="n">
        <f aca="false">((D167-D166)/D166)*100</f>
        <v>-1.44388849177985</v>
      </c>
      <c r="N167" s="8" t="n">
        <f aca="false">((E167-E166)/E166)*100</f>
        <v>0.483450351053167</v>
      </c>
      <c r="O167" s="8" t="n">
        <f aca="false">((F167-F166)/F166)*100</f>
        <v>0.613615189385433</v>
      </c>
      <c r="P167" s="8" t="n">
        <f aca="false">((G167-G166)/G166)*100</f>
        <v>0.119160270563896</v>
      </c>
      <c r="Q167" s="8" t="n">
        <f aca="false">((H167-H166)/H166)*100</f>
        <v>0.471602123168337</v>
      </c>
      <c r="S167" s="9"/>
      <c r="V167" s="9" t="n">
        <f aca="false">K161-$V$4</f>
        <v>0.1222800523478</v>
      </c>
      <c r="W167" s="9" t="n">
        <f aca="false">L161-$W$4</f>
        <v>0.58581933917748</v>
      </c>
      <c r="X167" s="9" t="n">
        <f aca="false">M161-$X$4</f>
        <v>-0.317333491433104</v>
      </c>
      <c r="Y167" s="9" t="n">
        <f aca="false">N161-$Y$4</f>
        <v>1.40672657030931</v>
      </c>
      <c r="Z167" s="9" t="n">
        <f aca="false">O161-$Z$4</f>
        <v>0.794763527176674</v>
      </c>
      <c r="AA167" s="9" t="n">
        <f aca="false">P161-$AA$4</f>
        <v>1.22393297761581</v>
      </c>
      <c r="AB167" s="9" t="n">
        <f aca="false">Q161-$AB$4</f>
        <v>-1.46699352086561</v>
      </c>
    </row>
    <row r="168" customFormat="false" ht="15.75" hidden="false" customHeight="false" outlineLevel="0" collapsed="false">
      <c r="A168" s="7" t="n">
        <v>45534</v>
      </c>
      <c r="B168" s="8" t="n">
        <v>3019.75</v>
      </c>
      <c r="C168" s="9" t="n">
        <v>4553.75</v>
      </c>
      <c r="D168" s="9" t="n">
        <v>2805.4</v>
      </c>
      <c r="E168" s="8" t="n">
        <v>2500.75</v>
      </c>
      <c r="F168" s="9" t="n">
        <v>1589.05</v>
      </c>
      <c r="G168" s="11" t="n">
        <v>1432.65</v>
      </c>
      <c r="H168" s="12" t="n">
        <v>0.561506373</v>
      </c>
      <c r="I168" s="12"/>
      <c r="J168" s="12"/>
      <c r="K168" s="8" t="n">
        <f aca="false">((B168-B167)/B167)*100</f>
        <v>-0.693884933488989</v>
      </c>
      <c r="L168" s="8" t="n">
        <f aca="false">((C168-C167)/C167)*100</f>
        <v>0.929784121636593</v>
      </c>
      <c r="M168" s="8" t="n">
        <f aca="false">((D168-D167)/D167)*100</f>
        <v>1.73339135480128</v>
      </c>
      <c r="N168" s="8" t="n">
        <f aca="false">((E168-E167)/E167)*100</f>
        <v>-0.15172386257013</v>
      </c>
      <c r="O168" s="8" t="n">
        <f aca="false">((F168-F167)/F167)*100</f>
        <v>1.4783830385082</v>
      </c>
      <c r="P168" s="8" t="n">
        <f aca="false">((G168-G167)/G167)*100</f>
        <v>0.301046662232659</v>
      </c>
      <c r="Q168" s="8" t="n">
        <f aca="false">((H168-H167)/H167)*100</f>
        <v>-1.43811912658603</v>
      </c>
      <c r="S168" s="9"/>
      <c r="V168" s="9" t="n">
        <f aca="false">K162-$V$4</f>
        <v>-0.0330125647073182</v>
      </c>
      <c r="W168" s="9" t="n">
        <f aca="false">L162-$W$4</f>
        <v>-1.12517285452702</v>
      </c>
      <c r="X168" s="9" t="n">
        <f aca="false">M162-$X$4</f>
        <v>-1.56494317720444</v>
      </c>
      <c r="Y168" s="9" t="n">
        <f aca="false">N162-$Y$4</f>
        <v>0.057104680494194</v>
      </c>
      <c r="Z168" s="9" t="n">
        <f aca="false">O162-$Z$4</f>
        <v>1.37277368768495</v>
      </c>
      <c r="AA168" s="9" t="n">
        <f aca="false">P162-$AA$4</f>
        <v>-1.20552076570544</v>
      </c>
      <c r="AB168" s="9" t="n">
        <f aca="false">Q162-$AB$4</f>
        <v>0.330561423067538</v>
      </c>
    </row>
    <row r="169" customFormat="false" ht="15.75" hidden="false" customHeight="false" outlineLevel="0" collapsed="false">
      <c r="A169" s="7" t="n">
        <v>45537</v>
      </c>
      <c r="B169" s="8" t="n">
        <v>3032.8</v>
      </c>
      <c r="C169" s="9" t="n">
        <v>4521.05</v>
      </c>
      <c r="D169" s="9" t="n">
        <v>2777</v>
      </c>
      <c r="E169" s="8" t="n">
        <v>2509.9</v>
      </c>
      <c r="F169" s="9" t="n">
        <v>1571.35</v>
      </c>
      <c r="G169" s="11" t="n">
        <v>1414.35</v>
      </c>
      <c r="H169" s="12" t="n">
        <v>0.548257835</v>
      </c>
      <c r="I169" s="12"/>
      <c r="J169" s="12"/>
      <c r="K169" s="8" t="n">
        <f aca="false">((B169-B168)/B168)*100</f>
        <v>0.43215497971687</v>
      </c>
      <c r="L169" s="8" t="n">
        <f aca="false">((C169-C168)/C168)*100</f>
        <v>-0.718089486686793</v>
      </c>
      <c r="M169" s="8" t="n">
        <f aca="false">((D169-D168)/D168)*100</f>
        <v>-1.01233335709703</v>
      </c>
      <c r="N169" s="8" t="n">
        <f aca="false">((E169-E168)/E168)*100</f>
        <v>0.365890232930125</v>
      </c>
      <c r="O169" s="8" t="n">
        <f aca="false">((F169-F168)/F168)*100</f>
        <v>-1.1138730688147</v>
      </c>
      <c r="P169" s="8" t="n">
        <f aca="false">((G169-G168)/G168)*100</f>
        <v>-1.27735315673753</v>
      </c>
      <c r="Q169" s="8" t="n">
        <f aca="false">((H169-H168)/H168)*100</f>
        <v>-2.3594635140499</v>
      </c>
      <c r="S169" s="9"/>
      <c r="V169" s="9" t="n">
        <f aca="false">K163-$V$4</f>
        <v>0.177307570172338</v>
      </c>
      <c r="W169" s="9" t="n">
        <f aca="false">L163-$W$4</f>
        <v>-0.883909838292419</v>
      </c>
      <c r="X169" s="9" t="n">
        <f aca="false">M163-$X$4</f>
        <v>0.704408848726423</v>
      </c>
      <c r="Y169" s="9" t="n">
        <f aca="false">N163-$Y$4</f>
        <v>-0.768070562036391</v>
      </c>
      <c r="Z169" s="9" t="n">
        <f aca="false">O163-$Z$4</f>
        <v>1.18046782611171</v>
      </c>
      <c r="AA169" s="9" t="n">
        <f aca="false">P163-$AA$4</f>
        <v>-0.0513312348256323</v>
      </c>
      <c r="AB169" s="9" t="n">
        <f aca="false">Q163-$AB$4</f>
        <v>-1.13061701659772</v>
      </c>
    </row>
    <row r="170" customFormat="false" ht="15.75" hidden="false" customHeight="false" outlineLevel="0" collapsed="false">
      <c r="A170" s="7" t="n">
        <v>45538</v>
      </c>
      <c r="B170" s="8" t="n">
        <v>3019.6</v>
      </c>
      <c r="C170" s="9" t="n">
        <v>4512.35</v>
      </c>
      <c r="D170" s="9" t="n">
        <v>2784.85</v>
      </c>
      <c r="E170" s="8" t="n">
        <v>2530.75</v>
      </c>
      <c r="F170" s="9" t="n">
        <v>1560.6</v>
      </c>
      <c r="G170" s="11" t="n">
        <v>1402.65</v>
      </c>
      <c r="H170" s="12" t="n">
        <v>0.567155731</v>
      </c>
      <c r="I170" s="12"/>
      <c r="J170" s="12"/>
      <c r="K170" s="8" t="n">
        <f aca="false">((B170-B169)/B169)*100</f>
        <v>-0.435241361118447</v>
      </c>
      <c r="L170" s="8" t="n">
        <f aca="false">((C170-C169)/C169)*100</f>
        <v>-0.192433173709643</v>
      </c>
      <c r="M170" s="8" t="n">
        <f aca="false">((D170-D169)/D169)*100</f>
        <v>0.282679150162042</v>
      </c>
      <c r="N170" s="8" t="n">
        <f aca="false">((E170-E169)/E169)*100</f>
        <v>0.830710386867999</v>
      </c>
      <c r="O170" s="8" t="n">
        <f aca="false">((F170-F169)/F169)*100</f>
        <v>-0.684125115346677</v>
      </c>
      <c r="P170" s="8" t="n">
        <f aca="false">((G170-G169)/G169)*100</f>
        <v>-0.827235125676093</v>
      </c>
      <c r="Q170" s="8" t="n">
        <f aca="false">((H170-H169)/H169)*100</f>
        <v>3.44689939542771</v>
      </c>
      <c r="S170" s="9"/>
      <c r="V170" s="9" t="n">
        <f aca="false">K164-$V$4</f>
        <v>0.822056527288983</v>
      </c>
      <c r="W170" s="9" t="n">
        <f aca="false">L164-$W$4</f>
        <v>0.825975313821164</v>
      </c>
      <c r="X170" s="9" t="n">
        <f aca="false">M164-$X$4</f>
        <v>0.987181446390665</v>
      </c>
      <c r="Y170" s="9" t="n">
        <f aca="false">N164-$Y$4</f>
        <v>-0.295047296591349</v>
      </c>
      <c r="Z170" s="9" t="n">
        <f aca="false">O164-$Z$4</f>
        <v>0.259280642451695</v>
      </c>
      <c r="AA170" s="9" t="n">
        <f aca="false">P164-$AA$4</f>
        <v>0.799682331328848</v>
      </c>
      <c r="AB170" s="9" t="n">
        <f aca="false">Q164-$AB$4</f>
        <v>-0.373807098184289</v>
      </c>
    </row>
    <row r="171" customFormat="false" ht="15.75" hidden="false" customHeight="false" outlineLevel="0" collapsed="false">
      <c r="A171" s="7" t="n">
        <v>45539</v>
      </c>
      <c r="B171" s="8" t="n">
        <v>3029.8</v>
      </c>
      <c r="C171" s="9" t="n">
        <v>4479.25</v>
      </c>
      <c r="D171" s="9" t="n">
        <v>2749.6</v>
      </c>
      <c r="E171" s="8" t="n">
        <v>2534.75</v>
      </c>
      <c r="F171" s="9" t="n">
        <v>1561.9</v>
      </c>
      <c r="G171" s="11" t="n">
        <v>1394</v>
      </c>
      <c r="H171" s="12" t="n">
        <v>0.557429889</v>
      </c>
      <c r="I171" s="12"/>
      <c r="J171" s="12"/>
      <c r="K171" s="8" t="n">
        <f aca="false">((B171-B170)/B170)*100</f>
        <v>0.337793085176854</v>
      </c>
      <c r="L171" s="8" t="n">
        <f aca="false">((C171-C170)/C170)*100</f>
        <v>-0.733542389220702</v>
      </c>
      <c r="M171" s="8" t="n">
        <f aca="false">((D171-D170)/D170)*100</f>
        <v>-1.26577733091549</v>
      </c>
      <c r="N171" s="8" t="n">
        <f aca="false">((E171-E170)/E170)*100</f>
        <v>0.158055912278969</v>
      </c>
      <c r="O171" s="8" t="n">
        <f aca="false">((F171-F170)/F170)*100</f>
        <v>0.0833012943739704</v>
      </c>
      <c r="P171" s="8" t="n">
        <f aca="false">((G171-G170)/G170)*100</f>
        <v>-0.616689837094078</v>
      </c>
      <c r="Q171" s="8" t="n">
        <f aca="false">((H171-H170)/H170)*100</f>
        <v>-1.71484505373006</v>
      </c>
      <c r="S171" s="9"/>
      <c r="V171" s="9" t="n">
        <f aca="false">K165-$V$4</f>
        <v>-0.768314869200731</v>
      </c>
      <c r="W171" s="9" t="n">
        <f aca="false">L165-$W$4</f>
        <v>-0.155332989967194</v>
      </c>
      <c r="X171" s="9" t="n">
        <f aca="false">M165-$X$4</f>
        <v>-0.689144523827263</v>
      </c>
      <c r="Y171" s="9" t="n">
        <f aca="false">N165-$Y$4</f>
        <v>0.161906566018606</v>
      </c>
      <c r="Z171" s="9" t="n">
        <f aca="false">O165-$Z$4</f>
        <v>0.415820659754719</v>
      </c>
      <c r="AA171" s="9" t="n">
        <f aca="false">P165-$AA$4</f>
        <v>0.125099952522593</v>
      </c>
      <c r="AB171" s="9" t="n">
        <f aca="false">Q165-$AB$4</f>
        <v>-2.71987167111069</v>
      </c>
    </row>
    <row r="172" customFormat="false" ht="15.75" hidden="false" customHeight="false" outlineLevel="0" collapsed="false">
      <c r="A172" s="7" t="n">
        <v>45540</v>
      </c>
      <c r="B172" s="8" t="n">
        <v>2987.15</v>
      </c>
      <c r="C172" s="9" t="n">
        <v>4475.95</v>
      </c>
      <c r="D172" s="9" t="n">
        <v>2723.1</v>
      </c>
      <c r="E172" s="8" t="n">
        <v>2504.9</v>
      </c>
      <c r="F172" s="9" t="n">
        <v>1547.2</v>
      </c>
      <c r="G172" s="11" t="n">
        <v>1371</v>
      </c>
      <c r="H172" s="12" t="n">
        <v>0.557923439</v>
      </c>
      <c r="I172" s="12"/>
      <c r="J172" s="12"/>
      <c r="K172" s="8" t="n">
        <f aca="false">((B172-B171)/B171)*100</f>
        <v>-1.40768367549013</v>
      </c>
      <c r="L172" s="8" t="n">
        <f aca="false">((C172-C171)/C171)*100</f>
        <v>-0.0736730479432981</v>
      </c>
      <c r="M172" s="8" t="n">
        <f aca="false">((D172-D171)/D171)*100</f>
        <v>-0.963776549316264</v>
      </c>
      <c r="N172" s="8" t="n">
        <f aca="false">((E172-E171)/E171)*100</f>
        <v>-1.177630930072</v>
      </c>
      <c r="O172" s="8" t="n">
        <f aca="false">((F172-F171)/F171)*100</f>
        <v>-0.941161405979899</v>
      </c>
      <c r="P172" s="8" t="n">
        <f aca="false">((G172-G171)/G171)*100</f>
        <v>-1.64992826398852</v>
      </c>
      <c r="Q172" s="8" t="n">
        <f aca="false">((H172-H171)/H171)*100</f>
        <v>0.0885402827762531</v>
      </c>
      <c r="S172" s="9"/>
      <c r="V172" s="9" t="n">
        <f aca="false">K166-$V$4</f>
        <v>-0.141266754237347</v>
      </c>
      <c r="W172" s="9" t="n">
        <f aca="false">L166-$W$4</f>
        <v>0.160283815664649</v>
      </c>
      <c r="X172" s="9" t="n">
        <f aca="false">M166-$X$4</f>
        <v>0.369753432788562</v>
      </c>
      <c r="Y172" s="9" t="n">
        <f aca="false">N166-$Y$4</f>
        <v>-1.06165260808908</v>
      </c>
      <c r="Z172" s="9" t="n">
        <f aca="false">O166-$Z$4</f>
        <v>2.01451240107567</v>
      </c>
      <c r="AA172" s="9" t="n">
        <f aca="false">P166-$AA$4</f>
        <v>0.311280381909068</v>
      </c>
      <c r="AB172" s="9" t="n">
        <f aca="false">Q166-$AB$4</f>
        <v>-4.12800889151963</v>
      </c>
    </row>
    <row r="173" customFormat="false" ht="15.75" hidden="false" customHeight="false" outlineLevel="0" collapsed="false">
      <c r="A173" s="7" t="n">
        <v>45541</v>
      </c>
      <c r="B173" s="8" t="n">
        <v>2929.85</v>
      </c>
      <c r="C173" s="9" t="n">
        <v>4456.75</v>
      </c>
      <c r="D173" s="9" t="n">
        <v>2698.1</v>
      </c>
      <c r="E173" s="8" t="n">
        <v>2503.2</v>
      </c>
      <c r="F173" s="9" t="n">
        <v>1539.25</v>
      </c>
      <c r="G173" s="11" t="n">
        <v>1360</v>
      </c>
      <c r="H173" s="12" t="n">
        <v>0.544109891</v>
      </c>
      <c r="I173" s="12"/>
      <c r="J173" s="12"/>
      <c r="K173" s="8" t="n">
        <f aca="false">((B173-B172)/B172)*100</f>
        <v>-1.91821636007566</v>
      </c>
      <c r="L173" s="8" t="n">
        <f aca="false">((C173-C172)/C172)*100</f>
        <v>-0.428959215362098</v>
      </c>
      <c r="M173" s="8" t="n">
        <f aca="false">((D173-D172)/D172)*100</f>
        <v>-0.91807131577981</v>
      </c>
      <c r="N173" s="8" t="n">
        <f aca="false">((E173-E172)/E172)*100</f>
        <v>-0.067866980717804</v>
      </c>
      <c r="O173" s="8" t="n">
        <f aca="false">((F173-F172)/F172)*100</f>
        <v>-0.51383143743537</v>
      </c>
      <c r="P173" s="8" t="n">
        <f aca="false">((G173-G172)/G172)*100</f>
        <v>-0.802334062727936</v>
      </c>
      <c r="Q173" s="8" t="n">
        <f aca="false">((H173-H172)/H172)*100</f>
        <v>-2.47588594319659</v>
      </c>
      <c r="S173" s="9"/>
      <c r="V173" s="9" t="n">
        <f aca="false">K167-$V$4</f>
        <v>1.52084249289612</v>
      </c>
      <c r="W173" s="9" t="n">
        <f aca="false">L167-$W$4</f>
        <v>0.0899869175529596</v>
      </c>
      <c r="X173" s="9" t="n">
        <f aca="false">M167-$X$4</f>
        <v>-1.69266210156895</v>
      </c>
      <c r="Y173" s="9" t="n">
        <f aca="false">N167-$Y$4</f>
        <v>0.569946625551476</v>
      </c>
      <c r="Z173" s="9" t="n">
        <f aca="false">O167-$Z$4</f>
        <v>0.421593359628735</v>
      </c>
      <c r="AA173" s="9" t="n">
        <f aca="false">P167-$AA$4</f>
        <v>0.138700757921112</v>
      </c>
      <c r="AB173" s="9" t="n">
        <f aca="false">Q167-$AB$4</f>
        <v>-0.207655593234812</v>
      </c>
    </row>
    <row r="174" customFormat="false" ht="15.75" hidden="false" customHeight="false" outlineLevel="0" collapsed="false">
      <c r="A174" s="7" t="n">
        <v>45544</v>
      </c>
      <c r="B174" s="8" t="n">
        <v>2926.05</v>
      </c>
      <c r="C174" s="9" t="n">
        <v>4449.55</v>
      </c>
      <c r="D174" s="9" t="n">
        <v>2708.85</v>
      </c>
      <c r="E174" s="8" t="n">
        <v>2516.75</v>
      </c>
      <c r="F174" s="9" t="n">
        <v>1542.65</v>
      </c>
      <c r="G174" s="11" t="n">
        <v>1366</v>
      </c>
      <c r="H174" s="12" t="n">
        <v>0.528529171</v>
      </c>
      <c r="I174" s="12"/>
      <c r="J174" s="12"/>
      <c r="K174" s="8" t="n">
        <f aca="false">((B174-B173)/B173)*100</f>
        <v>-0.12969947266924</v>
      </c>
      <c r="L174" s="8" t="n">
        <f aca="false">((C174-C173)/C173)*100</f>
        <v>-0.161552700959215</v>
      </c>
      <c r="M174" s="8" t="n">
        <f aca="false">((D174-D173)/D173)*100</f>
        <v>0.398428523775991</v>
      </c>
      <c r="N174" s="8" t="n">
        <f aca="false">((E174-E173)/E173)*100</f>
        <v>0.541307126877604</v>
      </c>
      <c r="O174" s="8" t="n">
        <f aca="false">((F174-F173)/F173)*100</f>
        <v>0.220886795517303</v>
      </c>
      <c r="P174" s="8" t="n">
        <f aca="false">((G174-G173)/G173)*100</f>
        <v>0.441176470588235</v>
      </c>
      <c r="Q174" s="8" t="n">
        <f aca="false">((H174-H173)/H173)*100</f>
        <v>-2.8635244934373</v>
      </c>
      <c r="S174" s="9"/>
      <c r="V174" s="9" t="n">
        <f aca="false">K168-$V$4</f>
        <v>-0.678508517535204</v>
      </c>
      <c r="W174" s="9" t="n">
        <f aca="false">L168-$W$4</f>
        <v>0.892164820883054</v>
      </c>
      <c r="X174" s="9" t="n">
        <f aca="false">M168-$X$4</f>
        <v>1.48461774501218</v>
      </c>
      <c r="Y174" s="9" t="n">
        <f aca="false">N168-$Y$4</f>
        <v>-0.0652275880718208</v>
      </c>
      <c r="Z174" s="9" t="n">
        <f aca="false">O168-$Z$4</f>
        <v>1.2863612087515</v>
      </c>
      <c r="AA174" s="9" t="n">
        <f aca="false">P168-$AA$4</f>
        <v>0.320587149589876</v>
      </c>
      <c r="AB174" s="9" t="n">
        <f aca="false">Q168-$AB$4</f>
        <v>-2.11737684298917</v>
      </c>
    </row>
    <row r="175" customFormat="false" ht="15.75" hidden="false" customHeight="false" outlineLevel="0" collapsed="false">
      <c r="A175" s="7" t="n">
        <v>45545</v>
      </c>
      <c r="B175" s="8" t="n">
        <v>2923</v>
      </c>
      <c r="C175" s="9" t="n">
        <v>4507.85</v>
      </c>
      <c r="D175" s="9" t="n">
        <v>2690</v>
      </c>
      <c r="E175" s="8" t="n">
        <v>2535.5</v>
      </c>
      <c r="F175" s="9" t="n">
        <v>1577.85</v>
      </c>
      <c r="G175" s="11" t="n">
        <v>1353.35</v>
      </c>
      <c r="H175" s="12" t="n">
        <v>0.539608961</v>
      </c>
      <c r="I175" s="12"/>
      <c r="J175" s="12"/>
      <c r="K175" s="8" t="n">
        <f aca="false">((B175-B174)/B174)*100</f>
        <v>-0.104236086191288</v>
      </c>
      <c r="L175" s="8" t="n">
        <f aca="false">((C175-C174)/C174)*100</f>
        <v>1.31024485622142</v>
      </c>
      <c r="M175" s="8" t="n">
        <f aca="false">((D175-D174)/D174)*100</f>
        <v>-0.695867249940008</v>
      </c>
      <c r="N175" s="8" t="n">
        <f aca="false">((E175-E174)/E174)*100</f>
        <v>0.745008443429026</v>
      </c>
      <c r="O175" s="8" t="n">
        <f aca="false">((F175-F174)/F174)*100</f>
        <v>2.28178783262567</v>
      </c>
      <c r="P175" s="8" t="n">
        <f aca="false">((G175-G174)/G174)*100</f>
        <v>-0.926061493411427</v>
      </c>
      <c r="Q175" s="8" t="n">
        <f aca="false">((H175-H174)/H174)*100</f>
        <v>2.09634408239693</v>
      </c>
      <c r="S175" s="9"/>
      <c r="V175" s="9" t="n">
        <f aca="false">K169-$V$4</f>
        <v>0.447531395670655</v>
      </c>
      <c r="W175" s="9" t="n">
        <f aca="false">L169-$W$4</f>
        <v>-0.755708787440332</v>
      </c>
      <c r="X175" s="9" t="n">
        <f aca="false">M169-$X$4</f>
        <v>-1.26110696688614</v>
      </c>
      <c r="Y175" s="9" t="n">
        <f aca="false">N169-$Y$4</f>
        <v>0.452386507428433</v>
      </c>
      <c r="Z175" s="9" t="n">
        <f aca="false">O169-$Z$4</f>
        <v>-1.3058948985714</v>
      </c>
      <c r="AA175" s="9" t="n">
        <f aca="false">P169-$AA$4</f>
        <v>-1.25781266938031</v>
      </c>
      <c r="AB175" s="9" t="n">
        <f aca="false">Q169-$AB$4</f>
        <v>-3.03872123045305</v>
      </c>
    </row>
    <row r="176" customFormat="false" ht="15.75" hidden="false" customHeight="false" outlineLevel="0" collapsed="false">
      <c r="A176" s="7" t="n">
        <v>45546</v>
      </c>
      <c r="B176" s="8" t="n">
        <v>2903.1</v>
      </c>
      <c r="C176" s="9" t="n">
        <v>4479.35</v>
      </c>
      <c r="D176" s="9" t="n">
        <v>2654.25</v>
      </c>
      <c r="E176" s="8" t="n">
        <v>2526.85</v>
      </c>
      <c r="F176" s="9" t="n">
        <v>1577.8</v>
      </c>
      <c r="G176" s="11" t="n">
        <v>1358.35</v>
      </c>
      <c r="H176" s="12" t="n">
        <v>0.540998952</v>
      </c>
      <c r="I176" s="12"/>
      <c r="J176" s="12"/>
      <c r="K176" s="8" t="n">
        <f aca="false">((B176-B175)/B175)*100</f>
        <v>-0.680807389668152</v>
      </c>
      <c r="L176" s="8" t="n">
        <f aca="false">((C176-C175)/C175)*100</f>
        <v>-0.632230442450392</v>
      </c>
      <c r="M176" s="8" t="n">
        <f aca="false">((D176-D175)/D175)*100</f>
        <v>-1.32899628252788</v>
      </c>
      <c r="N176" s="8" t="n">
        <f aca="false">((E176-E175)/E175)*100</f>
        <v>-0.341155590613295</v>
      </c>
      <c r="O176" s="8" t="n">
        <f aca="false">((F176-F175)/F175)*100</f>
        <v>-0.00316886903064008</v>
      </c>
      <c r="P176" s="8" t="n">
        <f aca="false">((G176-G175)/G175)*100</f>
        <v>0.369453578157904</v>
      </c>
      <c r="Q176" s="8" t="n">
        <f aca="false">((H176-H175)/H175)*100</f>
        <v>0.257592275232812</v>
      </c>
      <c r="S176" s="9"/>
      <c r="V176" s="9" t="n">
        <f aca="false">K170-$V$4</f>
        <v>-0.419864945164663</v>
      </c>
      <c r="W176" s="9" t="n">
        <f aca="false">L170-$W$4</f>
        <v>-0.230052474463183</v>
      </c>
      <c r="X176" s="9" t="n">
        <f aca="false">M170-$X$4</f>
        <v>0.0339055403729348</v>
      </c>
      <c r="Y176" s="9" t="n">
        <f aca="false">N170-$Y$4</f>
        <v>0.917206661366308</v>
      </c>
      <c r="Z176" s="9" t="n">
        <f aca="false">O170-$Z$4</f>
        <v>-0.876146945103374</v>
      </c>
      <c r="AA176" s="9" t="n">
        <f aca="false">P170-$AA$4</f>
        <v>-0.807694638318876</v>
      </c>
      <c r="AB176" s="9" t="n">
        <f aca="false">Q170-$AB$4</f>
        <v>2.76764167902456</v>
      </c>
    </row>
    <row r="177" customFormat="false" ht="15.75" hidden="false" customHeight="false" outlineLevel="0" collapsed="false">
      <c r="A177" s="7" t="n">
        <v>45547</v>
      </c>
      <c r="B177" s="8" t="n">
        <v>2958.4</v>
      </c>
      <c r="C177" s="9" t="n">
        <v>4517.7</v>
      </c>
      <c r="D177" s="9" t="n">
        <v>2740.9</v>
      </c>
      <c r="E177" s="8" t="n">
        <v>2527.85</v>
      </c>
      <c r="F177" s="9" t="n">
        <v>1646.75</v>
      </c>
      <c r="G177" s="11" t="n">
        <v>1376</v>
      </c>
      <c r="H177" s="12" t="n">
        <v>0.535503559</v>
      </c>
      <c r="I177" s="12"/>
      <c r="J177" s="12"/>
      <c r="K177" s="8" t="n">
        <f aca="false">((B177-B176)/B176)*100</f>
        <v>1.90486032172506</v>
      </c>
      <c r="L177" s="8" t="n">
        <f aca="false">((C177-C176)/C176)*100</f>
        <v>0.856151004051915</v>
      </c>
      <c r="M177" s="8" t="n">
        <f aca="false">((D177-D176)/D176)*100</f>
        <v>3.26457568051239</v>
      </c>
      <c r="N177" s="8" t="n">
        <f aca="false">((E177-E176)/E176)*100</f>
        <v>0.0395749648772187</v>
      </c>
      <c r="O177" s="8" t="n">
        <f aca="false">((F177-F176)/F176)*100</f>
        <v>4.37000887311447</v>
      </c>
      <c r="P177" s="8" t="n">
        <f aca="false">((G177-G176)/G176)*100</f>
        <v>1.29937055987044</v>
      </c>
      <c r="Q177" s="8" t="n">
        <f aca="false">((H177-H176)/H176)*100</f>
        <v>-1.01578625608872</v>
      </c>
      <c r="S177" s="9"/>
      <c r="V177" s="9" t="n">
        <f aca="false">K171-$V$4</f>
        <v>0.353169501130638</v>
      </c>
      <c r="W177" s="9" t="n">
        <f aca="false">L171-$W$4</f>
        <v>-0.771161689974242</v>
      </c>
      <c r="X177" s="9" t="n">
        <f aca="false">M171-$X$4</f>
        <v>-1.5145509407046</v>
      </c>
      <c r="Y177" s="9" t="n">
        <f aca="false">N171-$Y$4</f>
        <v>0.244552186777278</v>
      </c>
      <c r="Z177" s="9" t="n">
        <f aca="false">O171-$Z$4</f>
        <v>-0.108720535382728</v>
      </c>
      <c r="AA177" s="9" t="n">
        <f aca="false">P171-$AA$4</f>
        <v>-0.597149349736862</v>
      </c>
      <c r="AB177" s="9" t="n">
        <f aca="false">Q171-$AB$4</f>
        <v>-2.3941027701332</v>
      </c>
    </row>
    <row r="178" customFormat="false" ht="15.75" hidden="false" customHeight="false" outlineLevel="0" collapsed="false">
      <c r="A178" s="7" t="n">
        <v>45548</v>
      </c>
      <c r="B178" s="8" t="n">
        <v>2944.45</v>
      </c>
      <c r="C178" s="9" t="n">
        <v>4522.6</v>
      </c>
      <c r="D178" s="9" t="n">
        <v>2739.1</v>
      </c>
      <c r="E178" s="8" t="n">
        <v>2531.4</v>
      </c>
      <c r="F178" s="9" t="n">
        <v>1634.45</v>
      </c>
      <c r="G178" s="11" t="n">
        <v>1370.65</v>
      </c>
      <c r="H178" s="12" t="n">
        <v>0.562511084</v>
      </c>
      <c r="I178" s="12"/>
      <c r="J178" s="12"/>
      <c r="K178" s="8" t="n">
        <f aca="false">((B178-B177)/B177)*100</f>
        <v>-0.471538669551118</v>
      </c>
      <c r="L178" s="8" t="n">
        <f aca="false">((C178-C177)/C177)*100</f>
        <v>0.108462270624445</v>
      </c>
      <c r="M178" s="8" t="n">
        <f aca="false">((D178-D177)/D177)*100</f>
        <v>-0.0656718596081645</v>
      </c>
      <c r="N178" s="8" t="n">
        <f aca="false">((E178-E177)/E177)*100</f>
        <v>0.140435547995339</v>
      </c>
      <c r="O178" s="8" t="n">
        <f aca="false">((F178-F177)/F177)*100</f>
        <v>-0.746925762866249</v>
      </c>
      <c r="P178" s="8" t="n">
        <f aca="false">((G178-G177)/G177)*100</f>
        <v>-0.388808139534877</v>
      </c>
      <c r="Q178" s="8" t="n">
        <f aca="false">((H178-H177)/H177)*100</f>
        <v>5.04338851648977</v>
      </c>
      <c r="S178" s="9"/>
      <c r="V178" s="9" t="n">
        <f aca="false">K172-$V$4</f>
        <v>-1.39230725953635</v>
      </c>
      <c r="W178" s="9" t="n">
        <f aca="false">L172-$W$4</f>
        <v>-0.111292348696838</v>
      </c>
      <c r="X178" s="9" t="n">
        <f aca="false">M172-$X$4</f>
        <v>-1.21255015910537</v>
      </c>
      <c r="Y178" s="9" t="n">
        <f aca="false">N172-$Y$4</f>
        <v>-1.09113465557369</v>
      </c>
      <c r="Z178" s="9" t="n">
        <f aca="false">O172-$Z$4</f>
        <v>-1.1331832357366</v>
      </c>
      <c r="AA178" s="9" t="n">
        <f aca="false">P172-$AA$4</f>
        <v>-1.63038777663131</v>
      </c>
      <c r="AB178" s="9" t="n">
        <f aca="false">Q172-$AB$4</f>
        <v>-0.590717433626896</v>
      </c>
    </row>
    <row r="179" customFormat="false" ht="15.75" hidden="false" customHeight="false" outlineLevel="0" collapsed="false">
      <c r="A179" s="7" t="n">
        <v>45551</v>
      </c>
      <c r="B179" s="8" t="n">
        <v>2942.9</v>
      </c>
      <c r="C179" s="9" t="n">
        <v>4513.25</v>
      </c>
      <c r="D179" s="9" t="n">
        <v>2757.4</v>
      </c>
      <c r="E179" s="8" t="n">
        <v>2549.6</v>
      </c>
      <c r="F179" s="9" t="n">
        <v>1635.45</v>
      </c>
      <c r="G179" s="11" t="n">
        <v>1369.35</v>
      </c>
      <c r="H179" s="12" t="n">
        <v>0.571058256</v>
      </c>
      <c r="I179" s="12"/>
      <c r="J179" s="12"/>
      <c r="K179" s="8" t="n">
        <f aca="false">((B179-B178)/B178)*100</f>
        <v>-0.0526414101105377</v>
      </c>
      <c r="L179" s="8" t="n">
        <f aca="false">((C179-C178)/C178)*100</f>
        <v>-0.206739486136301</v>
      </c>
      <c r="M179" s="8" t="n">
        <f aca="false">((D179-D178)/D178)*100</f>
        <v>0.66810266145815</v>
      </c>
      <c r="N179" s="8" t="n">
        <f aca="false">((E179-E178)/E178)*100</f>
        <v>0.718969740064779</v>
      </c>
      <c r="O179" s="8" t="n">
        <f aca="false">((F179-F178)/F178)*100</f>
        <v>0.0611826608339197</v>
      </c>
      <c r="P179" s="8" t="n">
        <f aca="false">((G179-G178)/G178)*100</f>
        <v>-0.094845511253798</v>
      </c>
      <c r="Q179" s="8" t="n">
        <f aca="false">((H179-H178)/H178)*100</f>
        <v>1.51946730351006</v>
      </c>
      <c r="S179" s="9"/>
      <c r="V179" s="9" t="n">
        <f aca="false">K173-$V$4</f>
        <v>-1.90283994412188</v>
      </c>
      <c r="W179" s="9" t="n">
        <f aca="false">L173-$W$4</f>
        <v>-0.466578516115637</v>
      </c>
      <c r="X179" s="9" t="n">
        <f aca="false">M173-$X$4</f>
        <v>-1.16684492556892</v>
      </c>
      <c r="Y179" s="9" t="n">
        <f aca="false">N173-$Y$4</f>
        <v>0.0186292937805048</v>
      </c>
      <c r="Z179" s="9" t="n">
        <f aca="false">O173-$Z$4</f>
        <v>-0.705853267192068</v>
      </c>
      <c r="AA179" s="9" t="n">
        <f aca="false">P173-$AA$4</f>
        <v>-0.782793575370719</v>
      </c>
      <c r="AB179" s="9" t="n">
        <f aca="false">Q173-$AB$4</f>
        <v>-3.15514365959974</v>
      </c>
    </row>
    <row r="180" customFormat="false" ht="15.75" hidden="false" customHeight="false" outlineLevel="0" collapsed="false">
      <c r="A180" s="7" t="n">
        <v>45552</v>
      </c>
      <c r="B180" s="8" t="n">
        <v>2944.6</v>
      </c>
      <c r="C180" s="9" t="n">
        <v>4505.65</v>
      </c>
      <c r="D180" s="9" t="n">
        <v>2787.65</v>
      </c>
      <c r="E180" s="8" t="n">
        <v>2546.85</v>
      </c>
      <c r="F180" s="9" t="n">
        <v>1661.75</v>
      </c>
      <c r="G180" s="11" t="n">
        <v>1380</v>
      </c>
      <c r="H180" s="12" t="n">
        <v>0.585505255</v>
      </c>
      <c r="I180" s="12"/>
      <c r="J180" s="12"/>
      <c r="K180" s="8" t="n">
        <f aca="false">((B180-B179)/B179)*100</f>
        <v>0.0577661490366583</v>
      </c>
      <c r="L180" s="8" t="n">
        <f aca="false">((C180-C179)/C179)*100</f>
        <v>-0.168393064864574</v>
      </c>
      <c r="M180" s="8" t="n">
        <f aca="false">((D180-D179)/D179)*100</f>
        <v>1.09704794371509</v>
      </c>
      <c r="N180" s="8" t="n">
        <f aca="false">((E180-E179)/E179)*100</f>
        <v>-0.107860056479448</v>
      </c>
      <c r="O180" s="8" t="n">
        <f aca="false">((F180-F179)/F179)*100</f>
        <v>1.60812008927206</v>
      </c>
      <c r="P180" s="8" t="n">
        <f aca="false">((G180-G179)/G179)*100</f>
        <v>0.777741264103413</v>
      </c>
      <c r="Q180" s="8" t="n">
        <f aca="false">((H180-H179)/H179)*100</f>
        <v>2.52986430862492</v>
      </c>
      <c r="S180" s="9"/>
      <c r="V180" s="9" t="n">
        <f aca="false">K174-$V$4</f>
        <v>-0.114323056715455</v>
      </c>
      <c r="W180" s="9" t="n">
        <f aca="false">L174-$W$4</f>
        <v>-0.199172001712755</v>
      </c>
      <c r="X180" s="9" t="n">
        <f aca="false">M174-$X$4</f>
        <v>0.149654913986883</v>
      </c>
      <c r="Y180" s="9" t="n">
        <f aca="false">N174-$Y$4</f>
        <v>0.627803401375913</v>
      </c>
      <c r="Z180" s="9" t="n">
        <f aca="false">O174-$Z$4</f>
        <v>0.0288649657606054</v>
      </c>
      <c r="AA180" s="9" t="n">
        <f aca="false">P174-$AA$4</f>
        <v>0.460716957945452</v>
      </c>
      <c r="AB180" s="9" t="n">
        <f aca="false">Q174-$AB$4</f>
        <v>-3.54278220984045</v>
      </c>
    </row>
    <row r="181" customFormat="false" ht="15.75" hidden="false" customHeight="false" outlineLevel="0" collapsed="false">
      <c r="A181" s="7" t="n">
        <v>45553</v>
      </c>
      <c r="B181" s="8" t="n">
        <v>2926.25</v>
      </c>
      <c r="C181" s="9" t="n">
        <v>4346.15</v>
      </c>
      <c r="D181" s="9" t="n">
        <v>2808.2</v>
      </c>
      <c r="E181" s="8" t="n">
        <v>2597.15</v>
      </c>
      <c r="F181" s="9" t="n">
        <v>1654.9</v>
      </c>
      <c r="G181" s="11" t="n">
        <v>1374</v>
      </c>
      <c r="H181" s="12" t="n">
        <v>0.584988978</v>
      </c>
      <c r="I181" s="12"/>
      <c r="J181" s="12"/>
      <c r="K181" s="8" t="n">
        <f aca="false">((B181-B180)/B180)*100</f>
        <v>-0.623174624736803</v>
      </c>
      <c r="L181" s="8" t="n">
        <f aca="false">((C181-C180)/C180)*100</f>
        <v>-3.53999977805644</v>
      </c>
      <c r="M181" s="8" t="n">
        <f aca="false">((D181-D180)/D180)*100</f>
        <v>0.737180062059431</v>
      </c>
      <c r="N181" s="8" t="n">
        <f aca="false">((E181-E180)/E180)*100</f>
        <v>1.97498871154564</v>
      </c>
      <c r="O181" s="8" t="n">
        <f aca="false">((F181-F180)/F180)*100</f>
        <v>-0.412216037310059</v>
      </c>
      <c r="P181" s="8" t="n">
        <f aca="false">((G181-G180)/G180)*100</f>
        <v>-0.434782608695652</v>
      </c>
      <c r="Q181" s="8" t="n">
        <f aca="false">((H181-H180)/H180)*100</f>
        <v>-0.088176322174922</v>
      </c>
      <c r="S181" s="9"/>
      <c r="V181" s="9" t="n">
        <f aca="false">K175-$V$4</f>
        <v>-0.0888596702375035</v>
      </c>
      <c r="W181" s="9" t="n">
        <f aca="false">L175-$W$4</f>
        <v>1.27262555546788</v>
      </c>
      <c r="X181" s="9" t="n">
        <f aca="false">M175-$X$4</f>
        <v>-0.944640859729115</v>
      </c>
      <c r="Y181" s="9" t="n">
        <f aca="false">N175-$Y$4</f>
        <v>0.831504717927334</v>
      </c>
      <c r="Z181" s="9" t="n">
        <f aca="false">O175-$Z$4</f>
        <v>2.08976600286897</v>
      </c>
      <c r="AA181" s="9" t="n">
        <f aca="false">P175-$AA$4</f>
        <v>-0.90652100605421</v>
      </c>
      <c r="AB181" s="9" t="n">
        <f aca="false">Q175-$AB$4</f>
        <v>1.41708636599378</v>
      </c>
    </row>
    <row r="182" customFormat="false" ht="15.75" hidden="false" customHeight="false" outlineLevel="0" collapsed="false">
      <c r="A182" s="7" t="n">
        <v>45554</v>
      </c>
      <c r="B182" s="8" t="n">
        <v>2939.35</v>
      </c>
      <c r="C182" s="9" t="n">
        <v>4296.15</v>
      </c>
      <c r="D182" s="9" t="n">
        <v>2797.5</v>
      </c>
      <c r="E182" s="8" t="n">
        <v>2634.2</v>
      </c>
      <c r="F182" s="9" t="n">
        <v>1664.85</v>
      </c>
      <c r="G182" s="11" t="n">
        <v>1391</v>
      </c>
      <c r="H182" s="12" t="n">
        <v>0.585435428</v>
      </c>
      <c r="I182" s="12"/>
      <c r="J182" s="12"/>
      <c r="K182" s="8" t="n">
        <f aca="false">((B182-B181)/B181)*100</f>
        <v>0.44767193507048</v>
      </c>
      <c r="L182" s="8" t="n">
        <f aca="false">((C182-C181)/C181)*100</f>
        <v>-1.1504434959677</v>
      </c>
      <c r="M182" s="8" t="n">
        <f aca="false">((D182-D181)/D181)*100</f>
        <v>-0.381026992379454</v>
      </c>
      <c r="N182" s="8" t="n">
        <f aca="false">((E182-E181)/E181)*100</f>
        <v>1.42656373332306</v>
      </c>
      <c r="O182" s="8" t="n">
        <f aca="false">((F182-F181)/F181)*100</f>
        <v>0.601244788204714</v>
      </c>
      <c r="P182" s="8" t="n">
        <f aca="false">((G182-G181)/G181)*100</f>
        <v>1.2372634643377</v>
      </c>
      <c r="Q182" s="8" t="n">
        <f aca="false">((H182-H181)/H181)*100</f>
        <v>0.0763176772195505</v>
      </c>
      <c r="S182" s="9"/>
      <c r="V182" s="9" t="n">
        <f aca="false">K176-$V$4</f>
        <v>-0.665430973714368</v>
      </c>
      <c r="W182" s="9" t="n">
        <f aca="false">L176-$W$4</f>
        <v>-0.669849743203932</v>
      </c>
      <c r="X182" s="9" t="n">
        <f aca="false">M176-$X$4</f>
        <v>-1.57776989231699</v>
      </c>
      <c r="Y182" s="9" t="n">
        <f aca="false">N176-$Y$4</f>
        <v>-0.254659316114986</v>
      </c>
      <c r="Z182" s="9" t="n">
        <f aca="false">O176-$Z$4</f>
        <v>-0.195190698787338</v>
      </c>
      <c r="AA182" s="9" t="n">
        <f aca="false">P176-$AA$4</f>
        <v>0.388994065515121</v>
      </c>
      <c r="AB182" s="9" t="n">
        <f aca="false">Q176-$AB$4</f>
        <v>-0.421665441170337</v>
      </c>
    </row>
    <row r="183" customFormat="false" ht="15.75" hidden="false" customHeight="false" outlineLevel="0" collapsed="false">
      <c r="A183" s="7" t="n">
        <v>45555</v>
      </c>
      <c r="B183" s="8" t="n">
        <v>2973.1</v>
      </c>
      <c r="C183" s="9" t="n">
        <v>4284.9</v>
      </c>
      <c r="D183" s="9" t="n">
        <v>2950.85</v>
      </c>
      <c r="E183" s="8" t="n">
        <v>2699.55</v>
      </c>
      <c r="F183" s="9" t="n">
        <v>1711.75</v>
      </c>
      <c r="G183" s="11" t="n">
        <v>1396.65</v>
      </c>
      <c r="H183" s="12" t="n">
        <v>0.587408387</v>
      </c>
      <c r="I183" s="12"/>
      <c r="J183" s="12"/>
      <c r="K183" s="8" t="n">
        <f aca="false">((B183-B182)/B182)*100</f>
        <v>1.14821304029803</v>
      </c>
      <c r="L183" s="8" t="n">
        <f aca="false">((C183-C182)/C182)*100</f>
        <v>-0.261862365140882</v>
      </c>
      <c r="M183" s="8" t="n">
        <f aca="false">((D183-D182)/D182)*100</f>
        <v>5.4816800714924</v>
      </c>
      <c r="N183" s="8" t="n">
        <f aca="false">((E183-E182)/E182)*100</f>
        <v>2.48082909422217</v>
      </c>
      <c r="O183" s="8" t="n">
        <f aca="false">((F183-F182)/F182)*100</f>
        <v>2.81707060696159</v>
      </c>
      <c r="P183" s="8" t="n">
        <f aca="false">((G183-G182)/G182)*100</f>
        <v>0.406182602444291</v>
      </c>
      <c r="Q183" s="8" t="n">
        <f aca="false">((H183-H182)/H182)*100</f>
        <v>0.337007107127097</v>
      </c>
      <c r="S183" s="9"/>
      <c r="V183" s="9" t="n">
        <f aca="false">K177-$V$4</f>
        <v>1.92023673767884</v>
      </c>
      <c r="W183" s="9" t="n">
        <f aca="false">L177-$W$4</f>
        <v>0.818531703298375</v>
      </c>
      <c r="X183" s="9" t="n">
        <f aca="false">M177-$X$4</f>
        <v>3.01580207072328</v>
      </c>
      <c r="Y183" s="9" t="n">
        <f aca="false">N177-$Y$4</f>
        <v>0.126071239375527</v>
      </c>
      <c r="Z183" s="9" t="n">
        <f aca="false">O177-$Z$4</f>
        <v>4.17798704335777</v>
      </c>
      <c r="AA183" s="9" t="n">
        <f aca="false">P177-$AA$4</f>
        <v>1.31891104722765</v>
      </c>
      <c r="AB183" s="9" t="n">
        <f aca="false">Q177-$AB$4</f>
        <v>-1.69504397249187</v>
      </c>
    </row>
    <row r="184" customFormat="false" ht="15.75" hidden="false" customHeight="false" outlineLevel="0" collapsed="false">
      <c r="A184" s="7" t="n">
        <v>45558</v>
      </c>
      <c r="B184" s="8" t="n">
        <v>2988.4</v>
      </c>
      <c r="C184" s="9" t="n">
        <v>4268.5</v>
      </c>
      <c r="D184" s="9" t="n">
        <v>3049.8</v>
      </c>
      <c r="E184" s="8" t="n">
        <v>2725.15</v>
      </c>
      <c r="F184" s="9" t="n">
        <v>1750.45</v>
      </c>
      <c r="G184" s="11" t="n">
        <v>1386</v>
      </c>
      <c r="H184" s="12" t="n">
        <v>0.587947682</v>
      </c>
      <c r="I184" s="12"/>
      <c r="J184" s="12"/>
      <c r="K184" s="8" t="n">
        <f aca="false">((B184-B183)/B183)*100</f>
        <v>0.514614375567596</v>
      </c>
      <c r="L184" s="8" t="n">
        <f aca="false">((C184-C183)/C183)*100</f>
        <v>-0.382739387150217</v>
      </c>
      <c r="M184" s="8" t="n">
        <f aca="false">((D184-D183)/D183)*100</f>
        <v>3.35327109138046</v>
      </c>
      <c r="N184" s="8" t="n">
        <f aca="false">((E184-E183)/E183)*100</f>
        <v>0.948306199181342</v>
      </c>
      <c r="O184" s="8" t="n">
        <f aca="false">((F184-F183)/F183)*100</f>
        <v>2.26084416532788</v>
      </c>
      <c r="P184" s="8" t="n">
        <f aca="false">((G184-G183)/G183)*100</f>
        <v>-0.762538932445501</v>
      </c>
      <c r="Q184" s="8" t="n">
        <f aca="false">((H184-H183)/H183)*100</f>
        <v>0.0918092100717743</v>
      </c>
      <c r="S184" s="9"/>
      <c r="V184" s="9" t="n">
        <f aca="false">K178-$V$4</f>
        <v>-0.456162253597334</v>
      </c>
      <c r="W184" s="9" t="n">
        <f aca="false">L178-$W$4</f>
        <v>0.0708429698709054</v>
      </c>
      <c r="X184" s="9" t="n">
        <f aca="false">M178-$X$4</f>
        <v>-0.314445469397272</v>
      </c>
      <c r="Y184" s="9" t="n">
        <f aca="false">N178-$Y$4</f>
        <v>0.226931822493648</v>
      </c>
      <c r="Z184" s="9" t="n">
        <f aca="false">O178-$Z$4</f>
        <v>-0.938947592622947</v>
      </c>
      <c r="AA184" s="9" t="n">
        <f aca="false">P178-$AA$4</f>
        <v>-0.36926765217766</v>
      </c>
      <c r="AB184" s="9" t="n">
        <f aca="false">Q178-$AB$4</f>
        <v>4.36413080008662</v>
      </c>
    </row>
    <row r="185" customFormat="false" ht="15.75" hidden="false" customHeight="false" outlineLevel="0" collapsed="false">
      <c r="A185" s="7" t="n">
        <v>45559</v>
      </c>
      <c r="B185" s="8" t="n">
        <v>2979.25</v>
      </c>
      <c r="C185" s="9" t="n">
        <v>4271.3</v>
      </c>
      <c r="D185" s="9" t="n">
        <v>3074.3</v>
      </c>
      <c r="E185" s="8" t="n">
        <v>2696.4</v>
      </c>
      <c r="F185" s="9" t="n">
        <v>1756.65</v>
      </c>
      <c r="G185" s="22" t="n">
        <v>1401.5</v>
      </c>
      <c r="H185" s="12" t="n">
        <v>0.585063894</v>
      </c>
      <c r="I185" s="12"/>
      <c r="J185" s="12"/>
      <c r="K185" s="8" t="n">
        <f aca="false">((B185-B184)/B184)*100</f>
        <v>-0.306183911123012</v>
      </c>
      <c r="L185" s="8" t="n">
        <f aca="false">((C185-C184)/C184)*100</f>
        <v>0.0655968138690449</v>
      </c>
      <c r="M185" s="8" t="n">
        <f aca="false">((D185-D184)/D184)*100</f>
        <v>0.803331365991213</v>
      </c>
      <c r="N185" s="8" t="n">
        <f aca="false">((E185-E184)/E184)*100</f>
        <v>-1.05498779883676</v>
      </c>
      <c r="O185" s="8" t="n">
        <f aca="false">((F185-F184)/F184)*100</f>
        <v>0.354194635665117</v>
      </c>
      <c r="P185" s="8" t="n">
        <f aca="false">((G185-G184)/G184)*100</f>
        <v>1.11832611832612</v>
      </c>
      <c r="Q185" s="8" t="n">
        <f aca="false">((H185-H184)/H184)*100</f>
        <v>-0.490483777432428</v>
      </c>
      <c r="S185" s="9"/>
      <c r="V185" s="9" t="n">
        <f aca="false">K179-$V$4</f>
        <v>-0.0372649941567532</v>
      </c>
      <c r="W185" s="9" t="n">
        <f aca="false">L179-$W$4</f>
        <v>-0.244358786889841</v>
      </c>
      <c r="X185" s="9" t="n">
        <f aca="false">M179-$X$4</f>
        <v>0.419329051669043</v>
      </c>
      <c r="Y185" s="9" t="n">
        <f aca="false">N179-$Y$4</f>
        <v>0.805466014563088</v>
      </c>
      <c r="Z185" s="9" t="n">
        <f aca="false">O179-$Z$4</f>
        <v>-0.130839168922778</v>
      </c>
      <c r="AA185" s="9" t="n">
        <f aca="false">P179-$AA$4</f>
        <v>-0.0753050238965812</v>
      </c>
      <c r="AB185" s="9" t="n">
        <f aca="false">Q179-$AB$4</f>
        <v>0.840209587106908</v>
      </c>
    </row>
    <row r="186" customFormat="false" ht="15.75" hidden="false" customHeight="false" outlineLevel="0" collapsed="false">
      <c r="A186" s="7" t="n">
        <v>45560</v>
      </c>
      <c r="B186" s="8" t="n">
        <v>2987.45</v>
      </c>
      <c r="C186" s="9" t="n">
        <v>4274.75</v>
      </c>
      <c r="D186" s="9" t="n">
        <v>3091.05</v>
      </c>
      <c r="E186" s="8" t="n">
        <v>2697.35</v>
      </c>
      <c r="F186" s="9" t="n">
        <v>1760.4</v>
      </c>
      <c r="G186" s="11" t="n">
        <v>1406.5</v>
      </c>
      <c r="H186" s="12" t="n">
        <v>0.591440852</v>
      </c>
      <c r="I186" s="12"/>
      <c r="J186" s="12"/>
      <c r="K186" s="8" t="n">
        <f aca="false">((B186-B185)/B185)*100</f>
        <v>0.275237056306111</v>
      </c>
      <c r="L186" s="8" t="n">
        <f aca="false">((C186-C185)/C185)*100</f>
        <v>0.0807716620232673</v>
      </c>
      <c r="M186" s="8" t="n">
        <f aca="false">((D186-D185)/D185)*100</f>
        <v>0.544839475652994</v>
      </c>
      <c r="N186" s="8" t="n">
        <f aca="false">((E186-E185)/E185)*100</f>
        <v>0.035232161400379</v>
      </c>
      <c r="O186" s="8" t="n">
        <f aca="false">((F186-F185)/F185)*100</f>
        <v>0.213474511143369</v>
      </c>
      <c r="P186" s="8" t="n">
        <f aca="false">((G186-G185)/G185)*100</f>
        <v>0.356760613628255</v>
      </c>
      <c r="Q186" s="8" t="n">
        <f aca="false">((H186-H185)/H185)*100</f>
        <v>1.08995924469062</v>
      </c>
      <c r="S186" s="9"/>
      <c r="V186" s="9" t="n">
        <f aca="false">K180-$V$4</f>
        <v>0.0731425649904428</v>
      </c>
      <c r="W186" s="9" t="n">
        <f aca="false">L180-$W$4</f>
        <v>-0.206012365618113</v>
      </c>
      <c r="X186" s="9" t="n">
        <f aca="false">M180-$X$4</f>
        <v>0.848274333925987</v>
      </c>
      <c r="Y186" s="9" t="n">
        <f aca="false">N180-$Y$4</f>
        <v>-0.0213637819811389</v>
      </c>
      <c r="Z186" s="9" t="n">
        <f aca="false">O180-$Z$4</f>
        <v>1.41609825951537</v>
      </c>
      <c r="AA186" s="9" t="n">
        <f aca="false">P180-$AA$4</f>
        <v>0.79728175146063</v>
      </c>
      <c r="AB186" s="9" t="n">
        <f aca="false">Q180-$AB$4</f>
        <v>1.85060659222177</v>
      </c>
    </row>
    <row r="187" customFormat="false" ht="15.75" hidden="false" customHeight="false" outlineLevel="0" collapsed="false">
      <c r="A187" s="7" t="n">
        <v>45561</v>
      </c>
      <c r="B187" s="8" t="n">
        <v>3000.7</v>
      </c>
      <c r="C187" s="9" t="n">
        <v>4292.5</v>
      </c>
      <c r="D187" s="9" t="n">
        <v>3181.1</v>
      </c>
      <c r="E187" s="8" t="n">
        <v>2755.5</v>
      </c>
      <c r="F187" s="9" t="n">
        <v>1771.1</v>
      </c>
      <c r="G187" s="11" t="n">
        <v>1411.65</v>
      </c>
      <c r="H187" s="12" t="n">
        <v>0.583894968</v>
      </c>
      <c r="I187" s="12"/>
      <c r="J187" s="12"/>
      <c r="K187" s="8" t="n">
        <f aca="false">((B187-B186)/B186)*100</f>
        <v>0.443522067314934</v>
      </c>
      <c r="L187" s="8" t="n">
        <f aca="false">((C187-C186)/C186)*100</f>
        <v>0.415228960757939</v>
      </c>
      <c r="M187" s="8" t="n">
        <f aca="false">((D187-D186)/D186)*100</f>
        <v>2.91324954303553</v>
      </c>
      <c r="N187" s="8" t="n">
        <f aca="false">((E187-E186)/E186)*100</f>
        <v>2.15581960071923</v>
      </c>
      <c r="O187" s="8" t="n">
        <f aca="false">((F187-F186)/F186)*100</f>
        <v>0.607816405362407</v>
      </c>
      <c r="P187" s="8" t="n">
        <f aca="false">((G187-G186)/G186)*100</f>
        <v>0.366157127621763</v>
      </c>
      <c r="Q187" s="8" t="n">
        <f aca="false">((H187-H186)/H186)*100</f>
        <v>-1.27584761425983</v>
      </c>
      <c r="S187" s="9"/>
      <c r="V187" s="9" t="n">
        <f aca="false">K181-$V$4</f>
        <v>-0.607798208783019</v>
      </c>
      <c r="W187" s="9" t="n">
        <f aca="false">L181-$W$4</f>
        <v>-3.57761907880998</v>
      </c>
      <c r="X187" s="9" t="n">
        <f aca="false">M181-$X$4</f>
        <v>0.488406452270324</v>
      </c>
      <c r="Y187" s="9" t="n">
        <f aca="false">N181-$Y$4</f>
        <v>2.06148498604395</v>
      </c>
      <c r="Z187" s="9" t="n">
        <f aca="false">O181-$Z$4</f>
        <v>-0.604237867066757</v>
      </c>
      <c r="AA187" s="9" t="n">
        <f aca="false">P181-$AA$4</f>
        <v>-0.415242121338435</v>
      </c>
      <c r="AB187" s="9" t="n">
        <f aca="false">Q181-$AB$4</f>
        <v>-0.767434038578071</v>
      </c>
    </row>
    <row r="188" customFormat="false" ht="15.75" hidden="false" customHeight="false" outlineLevel="0" collapsed="false">
      <c r="A188" s="7" t="n">
        <v>45562</v>
      </c>
      <c r="B188" s="8" t="n">
        <v>3052.4</v>
      </c>
      <c r="C188" s="9" t="n">
        <v>4308.7</v>
      </c>
      <c r="D188" s="9" t="n">
        <v>3183.65</v>
      </c>
      <c r="E188" s="8" t="n">
        <v>2745.7</v>
      </c>
      <c r="F188" s="9" t="n">
        <v>1734.6</v>
      </c>
      <c r="G188" s="11" t="n">
        <v>1404</v>
      </c>
      <c r="H188" s="12" t="n">
        <v>0.590001948</v>
      </c>
      <c r="I188" s="12"/>
      <c r="J188" s="12"/>
      <c r="K188" s="8" t="n">
        <f aca="false">((B188-B187)/B187)*100</f>
        <v>1.72293131602627</v>
      </c>
      <c r="L188" s="8" t="n">
        <f aca="false">((C188-C187)/C187)*100</f>
        <v>0.377402446126961</v>
      </c>
      <c r="M188" s="8" t="n">
        <f aca="false">((D188-D187)/D187)*100</f>
        <v>0.080160950614573</v>
      </c>
      <c r="N188" s="8" t="n">
        <f aca="false">((E188-E187)/E187)*100</f>
        <v>-0.355652331700243</v>
      </c>
      <c r="O188" s="8" t="n">
        <f aca="false">((F188-F187)/F187)*100</f>
        <v>-2.06086612839478</v>
      </c>
      <c r="P188" s="8" t="n">
        <f aca="false">((G188-G187)/G187)*100</f>
        <v>-0.541919030921269</v>
      </c>
      <c r="Q188" s="8" t="n">
        <f aca="false">((H188-H187)/H187)*100</f>
        <v>1.04590385851726</v>
      </c>
      <c r="S188" s="9"/>
      <c r="V188" s="9" t="n">
        <f aca="false">K182-$V$4</f>
        <v>0.463048351024264</v>
      </c>
      <c r="W188" s="9" t="n">
        <f aca="false">L182-$W$4</f>
        <v>-1.18806279672124</v>
      </c>
      <c r="X188" s="9" t="n">
        <f aca="false">M182-$X$4</f>
        <v>-0.629800602168561</v>
      </c>
      <c r="Y188" s="9" t="n">
        <f aca="false">N182-$Y$4</f>
        <v>1.51306000782136</v>
      </c>
      <c r="Z188" s="9" t="n">
        <f aca="false">O182-$Z$4</f>
        <v>0.409222958448017</v>
      </c>
      <c r="AA188" s="9" t="n">
        <f aca="false">P182-$AA$4</f>
        <v>1.25680395169492</v>
      </c>
      <c r="AB188" s="9" t="n">
        <f aca="false">Q182-$AB$4</f>
        <v>-0.602940039183598</v>
      </c>
    </row>
    <row r="189" customFormat="false" ht="15.75" hidden="false" customHeight="false" outlineLevel="0" collapsed="false">
      <c r="A189" s="7" t="n">
        <v>45565</v>
      </c>
      <c r="B189" s="8" t="n">
        <v>2953.8</v>
      </c>
      <c r="C189" s="9" t="n">
        <v>4268.5</v>
      </c>
      <c r="D189" s="9" t="n">
        <v>3094.9</v>
      </c>
      <c r="E189" s="8" t="n">
        <v>2689.95</v>
      </c>
      <c r="F189" s="9" t="n">
        <v>1709.55</v>
      </c>
      <c r="G189" s="11" t="n">
        <v>1407.65</v>
      </c>
      <c r="H189" s="12" t="n">
        <v>0.642591928</v>
      </c>
      <c r="I189" s="12"/>
      <c r="J189" s="12"/>
      <c r="K189" s="8" t="n">
        <f aca="false">((B189-B188)/B188)*100</f>
        <v>-3.23024505307299</v>
      </c>
      <c r="L189" s="8" t="n">
        <f aca="false">((C189-C188)/C188)*100</f>
        <v>-0.932996031285534</v>
      </c>
      <c r="M189" s="8" t="n">
        <f aca="false">((D189-D188)/D188)*100</f>
        <v>-2.78768080662133</v>
      </c>
      <c r="N189" s="8" t="n">
        <f aca="false">((E189-E188)/E188)*100</f>
        <v>-2.0304476089886</v>
      </c>
      <c r="O189" s="8" t="n">
        <f aca="false">((F189-F188)/F188)*100</f>
        <v>-1.44413697682463</v>
      </c>
      <c r="P189" s="8" t="n">
        <f aca="false">((G189-G188)/G188)*100</f>
        <v>0.259971509971516</v>
      </c>
      <c r="Q189" s="8" t="n">
        <f aca="false">((H189-H188)/H188)*100</f>
        <v>8.91352650245825</v>
      </c>
      <c r="S189" s="9"/>
      <c r="V189" s="9" t="n">
        <f aca="false">K183-$V$4</f>
        <v>1.16358945625181</v>
      </c>
      <c r="W189" s="9" t="n">
        <f aca="false">L183-$W$4</f>
        <v>-0.299481665894421</v>
      </c>
      <c r="X189" s="9" t="n">
        <f aca="false">M183-$X$4</f>
        <v>5.23290646170329</v>
      </c>
      <c r="Y189" s="9" t="n">
        <f aca="false">N183-$Y$4</f>
        <v>2.56732536872048</v>
      </c>
      <c r="Z189" s="9" t="n">
        <f aca="false">O183-$Z$4</f>
        <v>2.6250487772049</v>
      </c>
      <c r="AA189" s="9" t="n">
        <f aca="false">P183-$AA$4</f>
        <v>0.425723089801508</v>
      </c>
      <c r="AB189" s="9" t="n">
        <f aca="false">Q183-$AB$4</f>
        <v>-0.342250609276052</v>
      </c>
    </row>
    <row r="190" customFormat="false" ht="15.75" hidden="false" customHeight="false" outlineLevel="0" collapsed="false">
      <c r="A190" s="7" t="n">
        <v>45566</v>
      </c>
      <c r="B190" s="8" t="n">
        <v>2929.8</v>
      </c>
      <c r="C190" s="9" t="n">
        <v>4287.9</v>
      </c>
      <c r="D190" s="9" t="n">
        <v>3165.5</v>
      </c>
      <c r="E190" s="8" t="n">
        <v>2707.05</v>
      </c>
      <c r="F190" s="9" t="n">
        <v>1698.7</v>
      </c>
      <c r="G190" s="11" t="n">
        <v>1441</v>
      </c>
      <c r="H190" s="12" t="n">
        <v>0.611933938</v>
      </c>
      <c r="I190" s="12"/>
      <c r="J190" s="12"/>
      <c r="K190" s="8" t="n">
        <f aca="false">((B190-B189)/B189)*100</f>
        <v>-0.812512695510867</v>
      </c>
      <c r="L190" s="8" t="n">
        <f aca="false">((C190-C189)/C189)*100</f>
        <v>0.454492210378345</v>
      </c>
      <c r="M190" s="8" t="n">
        <f aca="false">((D190-D189)/D189)*100</f>
        <v>2.28117225112281</v>
      </c>
      <c r="N190" s="8" t="n">
        <f aca="false">((E190-E189)/E189)*100</f>
        <v>0.635699548318756</v>
      </c>
      <c r="O190" s="8" t="n">
        <f aca="false">((F190-F189)/F189)*100</f>
        <v>-0.634669942382493</v>
      </c>
      <c r="P190" s="8" t="n">
        <f aca="false">((G190-G189)/G189)*100</f>
        <v>2.36919688843107</v>
      </c>
      <c r="Q190" s="8" t="n">
        <f aca="false">((H190-H189)/H189)*100</f>
        <v>-4.77098896891217</v>
      </c>
      <c r="S190" s="9"/>
      <c r="V190" s="9" t="n">
        <f aca="false">K184-$V$4</f>
        <v>0.52999079152138</v>
      </c>
      <c r="W190" s="9" t="n">
        <f aca="false">L184-$W$4</f>
        <v>-0.420358687903756</v>
      </c>
      <c r="X190" s="9" t="n">
        <f aca="false">M184-$X$4</f>
        <v>3.10449748159135</v>
      </c>
      <c r="Y190" s="9" t="n">
        <f aca="false">N184-$Y$4</f>
        <v>1.03480247367965</v>
      </c>
      <c r="Z190" s="9" t="n">
        <f aca="false">O184-$Z$4</f>
        <v>2.06882233557119</v>
      </c>
      <c r="AA190" s="9" t="n">
        <f aca="false">P184-$AA$4</f>
        <v>-0.742998445088284</v>
      </c>
      <c r="AB190" s="9" t="n">
        <f aca="false">Q184-$AB$4</f>
        <v>-0.587448506331375</v>
      </c>
    </row>
    <row r="191" customFormat="false" ht="15.75" hidden="false" customHeight="false" outlineLevel="0" collapsed="false">
      <c r="A191" s="7" t="n">
        <v>45568</v>
      </c>
      <c r="B191" s="8" t="n">
        <v>2815.25</v>
      </c>
      <c r="C191" s="9" t="n">
        <v>4232.75</v>
      </c>
      <c r="D191" s="9" t="n">
        <v>3129.85</v>
      </c>
      <c r="E191" s="8" t="n">
        <v>2674.85</v>
      </c>
      <c r="F191" s="9" t="n">
        <v>1673.45</v>
      </c>
      <c r="G191" s="11" t="n">
        <v>1478.5</v>
      </c>
      <c r="H191" s="12" t="n">
        <v>0.538831067</v>
      </c>
      <c r="I191" s="12"/>
      <c r="J191" s="12"/>
      <c r="K191" s="8" t="n">
        <f aca="false">((B191-B190)/B190)*100</f>
        <v>-3.90982319612261</v>
      </c>
      <c r="L191" s="8" t="n">
        <f aca="false">((C191-C190)/C190)*100</f>
        <v>-1.28617738286806</v>
      </c>
      <c r="M191" s="8" t="n">
        <f aca="false">((D191-D190)/D190)*100</f>
        <v>-1.12620439109146</v>
      </c>
      <c r="N191" s="8" t="n">
        <f aca="false">((E191-E190)/E190)*100</f>
        <v>-1.18948671062597</v>
      </c>
      <c r="O191" s="8" t="n">
        <f aca="false">((F191-F190)/F190)*100</f>
        <v>-1.48643080002355</v>
      </c>
      <c r="P191" s="8" t="n">
        <f aca="false">((G191-G190)/G190)*100</f>
        <v>2.60235947258848</v>
      </c>
      <c r="Q191" s="8" t="n">
        <f aca="false">((H191-H190)/H190)*100</f>
        <v>-11.9462030883471</v>
      </c>
      <c r="S191" s="9"/>
      <c r="V191" s="9" t="n">
        <f aca="false">K185-$V$4</f>
        <v>-0.290807495169228</v>
      </c>
      <c r="W191" s="9" t="n">
        <f aca="false">L185-$W$4</f>
        <v>0.0279775131155054</v>
      </c>
      <c r="X191" s="9" t="n">
        <f aca="false">M185-$X$4</f>
        <v>0.554557756202105</v>
      </c>
      <c r="Y191" s="9" t="n">
        <f aca="false">N185-$Y$4</f>
        <v>-0.968491524338453</v>
      </c>
      <c r="Z191" s="9" t="n">
        <f aca="false">O185-$Z$4</f>
        <v>0.162172805908419</v>
      </c>
      <c r="AA191" s="9" t="n">
        <f aca="false">P185-$AA$4</f>
        <v>1.13786660568334</v>
      </c>
      <c r="AB191" s="9" t="n">
        <f aca="false">Q185-$AB$4</f>
        <v>-1.16974149383558</v>
      </c>
    </row>
    <row r="192" customFormat="false" ht="15.75" hidden="false" customHeight="false" outlineLevel="0" collapsed="false">
      <c r="A192" s="7" t="n">
        <v>45569</v>
      </c>
      <c r="B192" s="8" t="n">
        <v>2773.8</v>
      </c>
      <c r="C192" s="9" t="n">
        <v>4252.25</v>
      </c>
      <c r="D192" s="9" t="n">
        <v>3017.45</v>
      </c>
      <c r="E192" s="8" t="n">
        <v>2598.15</v>
      </c>
      <c r="F192" s="9" t="n">
        <v>1640.9</v>
      </c>
      <c r="G192" s="11" t="n">
        <v>1497.5</v>
      </c>
      <c r="H192" s="12" t="n">
        <v>0.52165909</v>
      </c>
      <c r="I192" s="12"/>
      <c r="J192" s="12"/>
      <c r="K192" s="8" t="n">
        <f aca="false">((B192-B191)/B191)*100</f>
        <v>-1.47233815824526</v>
      </c>
      <c r="L192" s="8" t="n">
        <f aca="false">((C192-C191)/C191)*100</f>
        <v>0.460693402634221</v>
      </c>
      <c r="M192" s="8" t="n">
        <f aca="false">((D192-D191)/D191)*100</f>
        <v>-3.59122641660144</v>
      </c>
      <c r="N192" s="8" t="n">
        <f aca="false">((E192-E191)/E191)*100</f>
        <v>-2.86745051124361</v>
      </c>
      <c r="O192" s="8" t="n">
        <f aca="false">((F192-F191)/F191)*100</f>
        <v>-1.94508351011383</v>
      </c>
      <c r="P192" s="8" t="n">
        <f aca="false">((G192-G191)/G191)*100</f>
        <v>1.28508623605005</v>
      </c>
      <c r="Q192" s="8" t="n">
        <f aca="false">((H192-H191)/H191)*100</f>
        <v>-3.1868943815001</v>
      </c>
      <c r="S192" s="9"/>
      <c r="V192" s="9" t="n">
        <f aca="false">K186-$V$4</f>
        <v>0.290613472259896</v>
      </c>
      <c r="W192" s="9" t="n">
        <f aca="false">L186-$W$4</f>
        <v>0.0431523612697279</v>
      </c>
      <c r="X192" s="9" t="n">
        <f aca="false">M186-$X$4</f>
        <v>0.296065865863887</v>
      </c>
      <c r="Y192" s="9" t="n">
        <f aca="false">N186-$Y$4</f>
        <v>0.121728435898688</v>
      </c>
      <c r="Z192" s="9" t="n">
        <f aca="false">O186-$Z$4</f>
        <v>0.0214526813866716</v>
      </c>
      <c r="AA192" s="9" t="n">
        <f aca="false">P186-$AA$4</f>
        <v>0.376301100985472</v>
      </c>
      <c r="AB192" s="9" t="n">
        <f aca="false">Q186-$AB$4</f>
        <v>0.410701528287472</v>
      </c>
    </row>
    <row r="193" customFormat="false" ht="15.75" hidden="false" customHeight="false" outlineLevel="0" collapsed="false">
      <c r="A193" s="7" t="n">
        <v>45572</v>
      </c>
      <c r="B193" s="8" t="n">
        <v>2740.95</v>
      </c>
      <c r="C193" s="9" t="n">
        <v>4272.85</v>
      </c>
      <c r="D193" s="9" t="n">
        <v>3060.2</v>
      </c>
      <c r="E193" s="8" t="n">
        <v>2573.85</v>
      </c>
      <c r="F193" s="9" t="n">
        <v>1662.05</v>
      </c>
      <c r="G193" s="11" t="n">
        <v>1510</v>
      </c>
      <c r="H193" s="12" t="n">
        <v>0.533179984</v>
      </c>
      <c r="I193" s="12"/>
      <c r="J193" s="12"/>
      <c r="K193" s="8" t="n">
        <f aca="false">((B193-B192)/B192)*100</f>
        <v>-1.18429591174563</v>
      </c>
      <c r="L193" s="8" t="n">
        <f aca="false">((C193-C192)/C192)*100</f>
        <v>0.484449409136348</v>
      </c>
      <c r="M193" s="8" t="n">
        <f aca="false">((D193-D192)/D192)*100</f>
        <v>1.41675918407927</v>
      </c>
      <c r="N193" s="8" t="n">
        <f aca="false">((E193-E192)/E192)*100</f>
        <v>-0.935280872928822</v>
      </c>
      <c r="O193" s="8" t="n">
        <f aca="false">((F193-F192)/F192)*100</f>
        <v>1.28892680845876</v>
      </c>
      <c r="P193" s="8" t="n">
        <f aca="false">((G193-G192)/G192)*100</f>
        <v>0.834724540901503</v>
      </c>
      <c r="Q193" s="8" t="n">
        <f aca="false">((H193-H192)/H192)*100</f>
        <v>2.20851015938398</v>
      </c>
      <c r="S193" s="9"/>
      <c r="V193" s="9" t="n">
        <f aca="false">K187-$V$4</f>
        <v>0.458898483268719</v>
      </c>
      <c r="W193" s="9" t="n">
        <f aca="false">L187-$W$4</f>
        <v>0.3776096600044</v>
      </c>
      <c r="X193" s="9" t="n">
        <f aca="false">M187-$X$4</f>
        <v>2.66447593324642</v>
      </c>
      <c r="Y193" s="9" t="n">
        <f aca="false">N187-$Y$4</f>
        <v>2.24231587521754</v>
      </c>
      <c r="Z193" s="9" t="n">
        <f aca="false">O187-$Z$4</f>
        <v>0.415794575605709</v>
      </c>
      <c r="AA193" s="9" t="n">
        <f aca="false">P187-$AA$4</f>
        <v>0.385697614978979</v>
      </c>
      <c r="AB193" s="9" t="n">
        <f aca="false">Q187-$AB$4</f>
        <v>-1.95510533066298</v>
      </c>
    </row>
    <row r="194" customFormat="false" ht="15.75" hidden="false" customHeight="false" outlineLevel="0" collapsed="false">
      <c r="A194" s="7" t="n">
        <v>45573</v>
      </c>
      <c r="B194" s="8" t="n">
        <v>2796.05</v>
      </c>
      <c r="C194" s="9" t="n">
        <v>4253.25</v>
      </c>
      <c r="D194" s="9" t="n">
        <v>3165.85</v>
      </c>
      <c r="E194" s="8" t="n">
        <v>2581.75</v>
      </c>
      <c r="F194" s="9" t="n">
        <v>1657.45</v>
      </c>
      <c r="G194" s="11" t="n">
        <v>1517.5</v>
      </c>
      <c r="H194" s="12" t="n">
        <v>0.529816499</v>
      </c>
      <c r="I194" s="12"/>
      <c r="J194" s="12"/>
      <c r="K194" s="8" t="n">
        <f aca="false">((B194-B193)/B193)*100</f>
        <v>2.01025191995477</v>
      </c>
      <c r="L194" s="8" t="n">
        <f aca="false">((C194-C193)/C193)*100</f>
        <v>-0.458710228535997</v>
      </c>
      <c r="M194" s="8" t="n">
        <f aca="false">((D194-D193)/D193)*100</f>
        <v>3.45238873276257</v>
      </c>
      <c r="N194" s="8" t="n">
        <f aca="false">((E194-E193)/E193)*100</f>
        <v>0.306933193465046</v>
      </c>
      <c r="O194" s="8" t="n">
        <f aca="false">((F194-F193)/F193)*100</f>
        <v>-0.276766643602774</v>
      </c>
      <c r="P194" s="8" t="n">
        <f aca="false">((G194-G193)/G193)*100</f>
        <v>0.496688741721854</v>
      </c>
      <c r="Q194" s="8" t="n">
        <f aca="false">((H194-H193)/H193)*100</f>
        <v>-0.630834821436197</v>
      </c>
      <c r="S194" s="9"/>
      <c r="V194" s="9" t="n">
        <f aca="false">K188-$V$4</f>
        <v>1.73830773198005</v>
      </c>
      <c r="W194" s="9" t="n">
        <f aca="false">L188-$W$4</f>
        <v>0.339783145373422</v>
      </c>
      <c r="X194" s="9" t="n">
        <f aca="false">M188-$X$4</f>
        <v>-0.168612659174534</v>
      </c>
      <c r="Y194" s="9" t="n">
        <f aca="false">N188-$Y$4</f>
        <v>-0.269156057201934</v>
      </c>
      <c r="Z194" s="9" t="n">
        <f aca="false">O188-$Z$4</f>
        <v>-2.25288795815148</v>
      </c>
      <c r="AA194" s="9" t="n">
        <f aca="false">P188-$AA$4</f>
        <v>-0.522378543564052</v>
      </c>
      <c r="AB194" s="9" t="n">
        <f aca="false">Q188-$AB$4</f>
        <v>0.366646142114107</v>
      </c>
    </row>
    <row r="195" customFormat="false" ht="15.75" hidden="false" customHeight="false" outlineLevel="0" collapsed="false">
      <c r="A195" s="7" t="n">
        <v>45574</v>
      </c>
      <c r="B195" s="8" t="n">
        <v>2750.1</v>
      </c>
      <c r="C195" s="9" t="n">
        <v>4252.95</v>
      </c>
      <c r="D195" s="9" t="n">
        <v>3153</v>
      </c>
      <c r="E195" s="8" t="n">
        <v>2516</v>
      </c>
      <c r="F195" s="9" t="n">
        <v>1678.1</v>
      </c>
      <c r="G195" s="11" t="n">
        <v>1491</v>
      </c>
      <c r="H195" s="12" t="n">
        <v>0.530463286</v>
      </c>
      <c r="I195" s="12"/>
      <c r="J195" s="12"/>
      <c r="K195" s="8" t="n">
        <f aca="false">((B195-B194)/B194)*100</f>
        <v>-1.64338978201392</v>
      </c>
      <c r="L195" s="8" t="n">
        <f aca="false">((C195-C194)/C194)*100</f>
        <v>-0.00705342973021059</v>
      </c>
      <c r="M195" s="8" t="n">
        <f aca="false">((D195-D194)/D194)*100</f>
        <v>-0.405894151649633</v>
      </c>
      <c r="N195" s="8" t="n">
        <f aca="false">((E195-E194)/E194)*100</f>
        <v>-2.54672218456473</v>
      </c>
      <c r="O195" s="8" t="n">
        <f aca="false">((F195-F194)/F194)*100</f>
        <v>1.24588977043047</v>
      </c>
      <c r="P195" s="8" t="n">
        <f aca="false">((G195-G194)/G194)*100</f>
        <v>-1.74629324546952</v>
      </c>
      <c r="Q195" s="8" t="n">
        <f aca="false">((H195-H194)/H194)*100</f>
        <v>0.122077549721603</v>
      </c>
      <c r="S195" s="9"/>
      <c r="V195" s="9" t="n">
        <f aca="false">K189-$V$4</f>
        <v>-3.2148686371192</v>
      </c>
      <c r="W195" s="9" t="n">
        <f aca="false">L189-$W$4</f>
        <v>-0.970615332039074</v>
      </c>
      <c r="X195" s="9" t="n">
        <f aca="false">M189-$X$4</f>
        <v>-3.03645441641044</v>
      </c>
      <c r="Y195" s="9" t="n">
        <f aca="false">N189-$Y$4</f>
        <v>-1.94395133449029</v>
      </c>
      <c r="Z195" s="9" t="n">
        <f aca="false">O189-$Z$4</f>
        <v>-1.63615880658132</v>
      </c>
      <c r="AA195" s="9" t="n">
        <f aca="false">P189-$AA$4</f>
        <v>0.279511997328733</v>
      </c>
      <c r="AB195" s="9" t="n">
        <f aca="false">Q189-$AB$4</f>
        <v>8.2342687860551</v>
      </c>
    </row>
    <row r="196" customFormat="false" ht="15.75" hidden="false" customHeight="false" outlineLevel="0" collapsed="false">
      <c r="A196" s="7" t="n">
        <v>45575</v>
      </c>
      <c r="B196" s="8" t="n">
        <v>2742.05</v>
      </c>
      <c r="C196" s="9" t="n">
        <v>4227.4</v>
      </c>
      <c r="D196" s="9" t="n">
        <v>3194.3</v>
      </c>
      <c r="E196" s="8" t="n">
        <v>2512.45</v>
      </c>
      <c r="F196" s="9" t="n">
        <v>1678.1</v>
      </c>
      <c r="G196" s="11" t="n">
        <v>1495</v>
      </c>
      <c r="H196" s="12" t="n">
        <v>0.52415868</v>
      </c>
      <c r="I196" s="12"/>
      <c r="J196" s="12"/>
      <c r="K196" s="8" t="n">
        <f aca="false">((B196-B195)/B195)*100</f>
        <v>-0.292716628486227</v>
      </c>
      <c r="L196" s="8" t="n">
        <f aca="false">((C196-C195)/C195)*100</f>
        <v>-0.600759472836506</v>
      </c>
      <c r="M196" s="8" t="n">
        <f aca="false">((D196-D195)/D195)*100</f>
        <v>1.30986362194736</v>
      </c>
      <c r="N196" s="8" t="n">
        <f aca="false">((E196-E195)/E195)*100</f>
        <v>-0.141096979332281</v>
      </c>
      <c r="O196" s="8" t="n">
        <f aca="false">((F196-F195)/F195)*100</f>
        <v>0</v>
      </c>
      <c r="P196" s="8" t="n">
        <f aca="false">((G196-G195)/G195)*100</f>
        <v>0.268276324614353</v>
      </c>
      <c r="Q196" s="8" t="n">
        <f aca="false">((H196-H195)/H195)*100</f>
        <v>-1.18850939667105</v>
      </c>
      <c r="S196" s="9"/>
      <c r="V196" s="9" t="n">
        <f aca="false">K190-$V$4</f>
        <v>-0.797136279557083</v>
      </c>
      <c r="W196" s="9" t="n">
        <f aca="false">L190-$W$4</f>
        <v>0.416872909624805</v>
      </c>
      <c r="X196" s="9" t="n">
        <f aca="false">M190-$X$4</f>
        <v>2.0323986413337</v>
      </c>
      <c r="Y196" s="9" t="n">
        <f aca="false">N190-$Y$4</f>
        <v>0.722195822817064</v>
      </c>
      <c r="Z196" s="9" t="n">
        <f aca="false">O190-$Z$4</f>
        <v>-0.826691772139191</v>
      </c>
      <c r="AA196" s="9" t="n">
        <f aca="false">P190-$AA$4</f>
        <v>2.38873737578828</v>
      </c>
      <c r="AB196" s="9" t="n">
        <f aca="false">Q190-$AB$4</f>
        <v>-5.45024668531532</v>
      </c>
    </row>
    <row r="197" customFormat="false" ht="15.75" hidden="false" customHeight="false" outlineLevel="0" collapsed="false">
      <c r="A197" s="7" t="n">
        <v>45576</v>
      </c>
      <c r="B197" s="8" t="n">
        <v>2742.2</v>
      </c>
      <c r="C197" s="9" t="n">
        <v>4149.2</v>
      </c>
      <c r="D197" s="9" t="n">
        <v>3134.35</v>
      </c>
      <c r="E197" s="8" t="n">
        <v>2511.8</v>
      </c>
      <c r="F197" s="9" t="n">
        <v>1687.4</v>
      </c>
      <c r="G197" s="11" t="n">
        <v>1471.5</v>
      </c>
      <c r="H197" s="12" t="n">
        <v>0.529665174</v>
      </c>
      <c r="I197" s="12"/>
      <c r="J197" s="12"/>
      <c r="K197" s="8" t="n">
        <f aca="false">((B197-B196)/B196)*100</f>
        <v>0.0054703597673141</v>
      </c>
      <c r="L197" s="8" t="n">
        <f aca="false">((C197-C196)/C196)*100</f>
        <v>-1.84983677910772</v>
      </c>
      <c r="M197" s="8" t="n">
        <f aca="false">((D197-D196)/D196)*100</f>
        <v>-1.87678051529287</v>
      </c>
      <c r="N197" s="8" t="n">
        <f aca="false">((E197-E196)/E196)*100</f>
        <v>-0.025871161615142</v>
      </c>
      <c r="O197" s="8" t="n">
        <f aca="false">((F197-F196)/F196)*100</f>
        <v>0.55419820034564</v>
      </c>
      <c r="P197" s="8" t="n">
        <f aca="false">((G197-G196)/G196)*100</f>
        <v>-1.57190635451505</v>
      </c>
      <c r="Q197" s="8" t="n">
        <f aca="false">((H197-H196)/H196)*100</f>
        <v>1.05053950456378</v>
      </c>
      <c r="S197" s="9"/>
      <c r="V197" s="9" t="n">
        <f aca="false">K191-$V$4</f>
        <v>-3.89444678016882</v>
      </c>
      <c r="W197" s="9" t="n">
        <f aca="false">L191-$W$4</f>
        <v>-1.3237966836216</v>
      </c>
      <c r="X197" s="9" t="n">
        <f aca="false">M191-$X$4</f>
        <v>-1.37497800088057</v>
      </c>
      <c r="Y197" s="9" t="n">
        <f aca="false">N191-$Y$4</f>
        <v>-1.10299043612766</v>
      </c>
      <c r="Z197" s="9" t="n">
        <f aca="false">O191-$Z$4</f>
        <v>-1.67845262978025</v>
      </c>
      <c r="AA197" s="9" t="n">
        <f aca="false">P191-$AA$4</f>
        <v>2.6218999599457</v>
      </c>
      <c r="AB197" s="9" t="n">
        <f aca="false">Q191-$AB$4</f>
        <v>-12.6254608047502</v>
      </c>
    </row>
    <row r="198" customFormat="false" ht="15.75" hidden="false" customHeight="false" outlineLevel="0" collapsed="false">
      <c r="A198" s="7" t="n">
        <v>45579</v>
      </c>
      <c r="B198" s="8" t="n">
        <v>2745.2</v>
      </c>
      <c r="C198" s="9" t="n">
        <v>4136.65</v>
      </c>
      <c r="D198" s="9" t="n">
        <v>3154.9</v>
      </c>
      <c r="E198" s="8" t="n">
        <v>2502.05</v>
      </c>
      <c r="F198" s="9" t="n">
        <v>1695.6</v>
      </c>
      <c r="G198" s="11" t="n">
        <v>1498.5</v>
      </c>
      <c r="H198" s="12" t="n">
        <v>0.531680796</v>
      </c>
      <c r="I198" s="12"/>
      <c r="J198" s="12"/>
      <c r="K198" s="8" t="n">
        <f aca="false">((B198-B197)/B197)*100</f>
        <v>0.109401210706732</v>
      </c>
      <c r="L198" s="8" t="n">
        <f aca="false">((C198-C197)/C197)*100</f>
        <v>-0.302467945628077</v>
      </c>
      <c r="M198" s="8" t="n">
        <f aca="false">((D198-D197)/D197)*100</f>
        <v>0.655638330116298</v>
      </c>
      <c r="N198" s="8" t="n">
        <f aca="false">((E198-E197)/E197)*100</f>
        <v>-0.38816784775858</v>
      </c>
      <c r="O198" s="8" t="n">
        <f aca="false">((F198-F197)/F197)*100</f>
        <v>0.485954723242848</v>
      </c>
      <c r="P198" s="8" t="n">
        <f aca="false">((G198-G197)/G197)*100</f>
        <v>1.8348623853211</v>
      </c>
      <c r="Q198" s="8" t="n">
        <f aca="false">((H198-H197)/H197)*100</f>
        <v>0.380546446876634</v>
      </c>
      <c r="S198" s="9"/>
      <c r="V198" s="9" t="n">
        <f aca="false">K192-$V$4</f>
        <v>-1.45696174229148</v>
      </c>
      <c r="W198" s="9" t="n">
        <f aca="false">L192-$W$4</f>
        <v>0.423074101880682</v>
      </c>
      <c r="X198" s="9" t="n">
        <f aca="false">M192-$X$4</f>
        <v>-3.84000002639054</v>
      </c>
      <c r="Y198" s="9" t="n">
        <f aca="false">N192-$Y$4</f>
        <v>-2.78095423674531</v>
      </c>
      <c r="Z198" s="9" t="n">
        <f aca="false">O192-$Z$4</f>
        <v>-2.13710533987053</v>
      </c>
      <c r="AA198" s="9" t="n">
        <f aca="false">P192-$AA$4</f>
        <v>1.30462672340727</v>
      </c>
      <c r="AB198" s="9" t="n">
        <f aca="false">Q192-$AB$4</f>
        <v>-3.86615209790325</v>
      </c>
    </row>
    <row r="199" customFormat="false" ht="15.75" hidden="false" customHeight="false" outlineLevel="0" collapsed="false">
      <c r="A199" s="7" t="n">
        <v>45580</v>
      </c>
      <c r="B199" s="8" t="n">
        <v>2687.9</v>
      </c>
      <c r="C199" s="9" t="n">
        <v>4116.8</v>
      </c>
      <c r="D199" s="9" t="n">
        <v>3155.8</v>
      </c>
      <c r="E199" s="8" t="n">
        <v>2484.25</v>
      </c>
      <c r="F199" s="9" t="n">
        <v>1717.25</v>
      </c>
      <c r="G199" s="11" t="n">
        <v>1481</v>
      </c>
      <c r="H199" s="12" t="n">
        <v>0.547600997</v>
      </c>
      <c r="I199" s="12"/>
      <c r="J199" s="12"/>
      <c r="K199" s="8" t="n">
        <f aca="false">((B199-B198)/B198)*100</f>
        <v>-2.08727961532856</v>
      </c>
      <c r="L199" s="8" t="n">
        <f aca="false">((C199-C198)/C198)*100</f>
        <v>-0.479856889028549</v>
      </c>
      <c r="M199" s="8" t="n">
        <f aca="false">((D199-D198)/D198)*100</f>
        <v>0.0285270531554119</v>
      </c>
      <c r="N199" s="8" t="n">
        <f aca="false">((E199-E198)/E198)*100</f>
        <v>-0.711416638356555</v>
      </c>
      <c r="O199" s="8" t="n">
        <f aca="false">((F199-F198)/F198)*100</f>
        <v>1.27683415899977</v>
      </c>
      <c r="P199" s="8" t="n">
        <f aca="false">((G199-G198)/G198)*100</f>
        <v>-1.16783450116783</v>
      </c>
      <c r="Q199" s="8" t="n">
        <f aca="false">((H199-H198)/H198)*100</f>
        <v>2.99431559683416</v>
      </c>
      <c r="S199" s="9"/>
      <c r="V199" s="9" t="n">
        <f aca="false">K193-$V$4</f>
        <v>-1.16891949579185</v>
      </c>
      <c r="W199" s="9" t="n">
        <f aca="false">L193-$W$4</f>
        <v>0.446830108382809</v>
      </c>
      <c r="X199" s="9" t="n">
        <f aca="false">M193-$X$4</f>
        <v>1.16798557429017</v>
      </c>
      <c r="Y199" s="9" t="n">
        <f aca="false">N193-$Y$4</f>
        <v>-0.848784598430513</v>
      </c>
      <c r="Z199" s="9" t="n">
        <f aca="false">O193-$Z$4</f>
        <v>1.09690497870207</v>
      </c>
      <c r="AA199" s="9" t="n">
        <f aca="false">P193-$AA$4</f>
        <v>0.854265028258719</v>
      </c>
      <c r="AB199" s="9" t="n">
        <f aca="false">Q193-$AB$4</f>
        <v>1.52925244298083</v>
      </c>
    </row>
    <row r="200" customFormat="false" ht="15.75" hidden="false" customHeight="false" outlineLevel="0" collapsed="false">
      <c r="A200" s="7" t="n">
        <v>45581</v>
      </c>
      <c r="B200" s="8" t="n">
        <v>2708</v>
      </c>
      <c r="C200" s="9" t="n">
        <v>4094.95</v>
      </c>
      <c r="D200" s="9" t="n">
        <v>3068</v>
      </c>
      <c r="E200" s="8" t="n">
        <v>2462.25</v>
      </c>
      <c r="F200" s="9" t="n">
        <v>1733.95</v>
      </c>
      <c r="G200" s="11" t="n">
        <v>1469.35</v>
      </c>
      <c r="H200" s="12" t="n">
        <v>0.540963299</v>
      </c>
      <c r="I200" s="12"/>
      <c r="J200" s="12"/>
      <c r="K200" s="8" t="n">
        <f aca="false">((B200-B199)/B199)*100</f>
        <v>0.747795676922501</v>
      </c>
      <c r="L200" s="8" t="n">
        <f aca="false">((C200-C199)/C199)*100</f>
        <v>-0.530752040419752</v>
      </c>
      <c r="M200" s="8" t="n">
        <f aca="false">((D200-D199)/D199)*100</f>
        <v>-2.78217884530072</v>
      </c>
      <c r="N200" s="8" t="n">
        <f aca="false">((E200-E199)/E199)*100</f>
        <v>-0.885579148636409</v>
      </c>
      <c r="O200" s="8" t="n">
        <f aca="false">((F200-F199)/F199)*100</f>
        <v>0.972485077886158</v>
      </c>
      <c r="P200" s="8" t="n">
        <f aca="false">((G200-G199)/G199)*100</f>
        <v>-0.786630654962869</v>
      </c>
      <c r="Q200" s="8" t="n">
        <f aca="false">((H200-H199)/H199)*100</f>
        <v>-1.21214132851552</v>
      </c>
      <c r="S200" s="9"/>
      <c r="V200" s="9" t="n">
        <f aca="false">K194-$V$4</f>
        <v>2.02562833590856</v>
      </c>
      <c r="W200" s="9" t="n">
        <f aca="false">L194-$W$4</f>
        <v>-0.496329529289537</v>
      </c>
      <c r="X200" s="9" t="n">
        <f aca="false">M194-$X$4</f>
        <v>3.20361512297346</v>
      </c>
      <c r="Y200" s="9" t="n">
        <f aca="false">N194-$Y$4</f>
        <v>0.393429467963355</v>
      </c>
      <c r="Z200" s="9" t="n">
        <f aca="false">O194-$Z$4</f>
        <v>-0.468788473359472</v>
      </c>
      <c r="AA200" s="9" t="n">
        <f aca="false">P194-$AA$4</f>
        <v>0.516229229079071</v>
      </c>
      <c r="AB200" s="9" t="n">
        <f aca="false">Q194-$AB$4</f>
        <v>-1.31009253783935</v>
      </c>
    </row>
    <row r="201" customFormat="false" ht="15.75" hidden="false" customHeight="false" outlineLevel="0" collapsed="false">
      <c r="A201" s="7" t="n">
        <v>45582</v>
      </c>
      <c r="B201" s="8" t="n">
        <v>2713.45</v>
      </c>
      <c r="C201" s="9" t="n">
        <v>4109</v>
      </c>
      <c r="D201" s="9" t="n">
        <v>2964.6</v>
      </c>
      <c r="E201" s="8" t="n">
        <v>2378.7</v>
      </c>
      <c r="F201" s="9" t="n">
        <v>1701.15</v>
      </c>
      <c r="G201" s="11" t="n">
        <v>1467.65</v>
      </c>
      <c r="H201" s="12" t="n">
        <v>0.54795838</v>
      </c>
      <c r="I201" s="12"/>
      <c r="J201" s="12"/>
      <c r="K201" s="8" t="n">
        <f aca="false">((B201-B200)/B200)*100</f>
        <v>0.201255539143272</v>
      </c>
      <c r="L201" s="8" t="n">
        <f aca="false">((C201-C200)/C200)*100</f>
        <v>0.343105532424088</v>
      </c>
      <c r="M201" s="8" t="n">
        <f aca="false">((D201-D200)/D200)*100</f>
        <v>-3.37027379400261</v>
      </c>
      <c r="N201" s="8" t="n">
        <f aca="false">((E201-E200)/E200)*100</f>
        <v>-3.3932378921718</v>
      </c>
      <c r="O201" s="8" t="n">
        <f aca="false">((F201-F200)/F200)*100</f>
        <v>-1.89163470688313</v>
      </c>
      <c r="P201" s="8" t="n">
        <f aca="false">((G201-G200)/G200)*100</f>
        <v>-0.115697417225291</v>
      </c>
      <c r="Q201" s="8" t="n">
        <f aca="false">((H201-H200)/H200)*100</f>
        <v>1.29307866410361</v>
      </c>
      <c r="S201" s="9"/>
      <c r="V201" s="9" t="n">
        <f aca="false">K195-$V$4</f>
        <v>-1.62801336606014</v>
      </c>
      <c r="W201" s="9" t="n">
        <f aca="false">L195-$W$4</f>
        <v>-0.0446727304837501</v>
      </c>
      <c r="X201" s="9" t="n">
        <f aca="false">M195-$X$4</f>
        <v>-0.65466776143874</v>
      </c>
      <c r="Y201" s="9" t="n">
        <f aca="false">N195-$Y$4</f>
        <v>-2.46022591006642</v>
      </c>
      <c r="Z201" s="9" t="n">
        <f aca="false">O195-$Z$4</f>
        <v>1.05386794067377</v>
      </c>
      <c r="AA201" s="9" t="n">
        <f aca="false">P195-$AA$4</f>
        <v>-1.72675275811231</v>
      </c>
      <c r="AB201" s="9" t="n">
        <f aca="false">Q195-$AB$4</f>
        <v>-0.557180166681546</v>
      </c>
    </row>
    <row r="202" customFormat="false" ht="15.75" hidden="false" customHeight="false" outlineLevel="0" collapsed="false">
      <c r="A202" s="7" t="n">
        <v>45583</v>
      </c>
      <c r="B202" s="8" t="n">
        <v>2717.55</v>
      </c>
      <c r="C202" s="9" t="n">
        <v>4123.05</v>
      </c>
      <c r="D202" s="9" t="n">
        <v>2964.25</v>
      </c>
      <c r="E202" s="8" t="n">
        <v>2350.25</v>
      </c>
      <c r="F202" s="9" t="n">
        <v>1707.85</v>
      </c>
      <c r="G202" s="11" t="n">
        <v>1440.65</v>
      </c>
      <c r="H202" s="12" t="n">
        <v>0.543704295</v>
      </c>
      <c r="I202" s="12"/>
      <c r="J202" s="12"/>
      <c r="K202" s="8" t="n">
        <f aca="false">((B202-B201)/B201)*100</f>
        <v>0.151099154213284</v>
      </c>
      <c r="L202" s="8" t="n">
        <f aca="false">((C202-C201)/C201)*100</f>
        <v>0.341932343635926</v>
      </c>
      <c r="M202" s="8" t="n">
        <f aca="false">((D202-D201)/D201)*100</f>
        <v>-0.0118059771975953</v>
      </c>
      <c r="N202" s="8" t="n">
        <f aca="false">((E202-E201)/E201)*100</f>
        <v>-1.19603144574767</v>
      </c>
      <c r="O202" s="8" t="n">
        <f aca="false">((F202-F201)/F201)*100</f>
        <v>0.393851218293497</v>
      </c>
      <c r="P202" s="8" t="n">
        <f aca="false">((G202-G201)/G201)*100</f>
        <v>-1.83967567199264</v>
      </c>
      <c r="Q202" s="8" t="n">
        <f aca="false">((H202-H201)/H201)*100</f>
        <v>-0.776351846284387</v>
      </c>
      <c r="S202" s="9"/>
      <c r="V202" s="9" t="n">
        <f aca="false">K196-$V$4</f>
        <v>-0.277340212532442</v>
      </c>
      <c r="W202" s="9" t="n">
        <f aca="false">L196-$W$4</f>
        <v>-0.638378773590046</v>
      </c>
      <c r="X202" s="9" t="n">
        <f aca="false">M196-$X$4</f>
        <v>1.06109001215825</v>
      </c>
      <c r="Y202" s="9" t="n">
        <f aca="false">N196-$Y$4</f>
        <v>-0.0546007048339719</v>
      </c>
      <c r="Z202" s="9" t="n">
        <f aca="false">O196-$Z$4</f>
        <v>-0.192021829756698</v>
      </c>
      <c r="AA202" s="9" t="n">
        <f aca="false">P196-$AA$4</f>
        <v>0.28781681197157</v>
      </c>
      <c r="AB202" s="9" t="n">
        <f aca="false">Q196-$AB$4</f>
        <v>-1.8677671130742</v>
      </c>
    </row>
    <row r="203" customFormat="false" ht="15.75" hidden="false" customHeight="false" outlineLevel="0" collapsed="false">
      <c r="A203" s="7" t="n">
        <v>45586</v>
      </c>
      <c r="B203" s="8" t="n">
        <v>2738.25</v>
      </c>
      <c r="C203" s="9" t="n">
        <v>4079.85</v>
      </c>
      <c r="D203" s="9" t="n">
        <v>2998.2</v>
      </c>
      <c r="E203" s="8" t="n">
        <v>2354.65</v>
      </c>
      <c r="F203" s="9" t="n">
        <v>1692.55</v>
      </c>
      <c r="G203" s="11" t="n">
        <v>1446.65</v>
      </c>
      <c r="H203" s="12" t="n">
        <v>0.546583198</v>
      </c>
      <c r="I203" s="12"/>
      <c r="J203" s="12"/>
      <c r="K203" s="8" t="n">
        <f aca="false">((B203-B202)/B202)*100</f>
        <v>0.76171551581387</v>
      </c>
      <c r="L203" s="8" t="n">
        <f aca="false">((C203-C202)/C202)*100</f>
        <v>-1.04776803579875</v>
      </c>
      <c r="M203" s="8" t="n">
        <f aca="false">((D203-D202)/D202)*100</f>
        <v>1.14531500379522</v>
      </c>
      <c r="N203" s="8" t="n">
        <f aca="false">((E203-E202)/E202)*100</f>
        <v>0.187214126156796</v>
      </c>
      <c r="O203" s="8" t="n">
        <f aca="false">((F203-F202)/F202)*100</f>
        <v>-0.895863219837805</v>
      </c>
      <c r="P203" s="8" t="n">
        <f aca="false">((G203-G202)/G202)*100</f>
        <v>0.416478672821296</v>
      </c>
      <c r="Q203" s="8" t="n">
        <f aca="false">((H203-H202)/H202)*100</f>
        <v>0.529497932327359</v>
      </c>
      <c r="S203" s="9"/>
      <c r="V203" s="9" t="n">
        <f aca="false">K197-$V$4</f>
        <v>0.0208467757210986</v>
      </c>
      <c r="W203" s="9" t="n">
        <f aca="false">L197-$W$4</f>
        <v>-1.88745607986126</v>
      </c>
      <c r="X203" s="9" t="n">
        <f aca="false">M197-$X$4</f>
        <v>-2.12555412508198</v>
      </c>
      <c r="Y203" s="9" t="n">
        <f aca="false">N197-$Y$4</f>
        <v>0.0606251128831668</v>
      </c>
      <c r="Z203" s="9" t="n">
        <f aca="false">O197-$Z$4</f>
        <v>0.362176370588942</v>
      </c>
      <c r="AA203" s="9" t="n">
        <f aca="false">P197-$AA$4</f>
        <v>-1.55236586715783</v>
      </c>
      <c r="AB203" s="9" t="n">
        <f aca="false">Q197-$AB$4</f>
        <v>0.371281788160627</v>
      </c>
    </row>
    <row r="204" customFormat="false" ht="15.75" hidden="false" customHeight="false" outlineLevel="0" collapsed="false">
      <c r="A204" s="7" t="n">
        <v>45587</v>
      </c>
      <c r="B204" s="8" t="n">
        <v>2687.3</v>
      </c>
      <c r="C204" s="9" t="n">
        <v>4015.5</v>
      </c>
      <c r="D204" s="9" t="n">
        <v>2887.2</v>
      </c>
      <c r="E204" s="8" t="n">
        <v>2350.25</v>
      </c>
      <c r="F204" s="9" t="n">
        <v>1692.25</v>
      </c>
      <c r="G204" s="11" t="n">
        <v>1439.35</v>
      </c>
      <c r="H204" s="12" t="n">
        <v>0.544505651</v>
      </c>
      <c r="I204" s="12"/>
      <c r="J204" s="12"/>
      <c r="K204" s="8" t="n">
        <f aca="false">((B204-B203)/B203)*100</f>
        <v>-1.86067743997078</v>
      </c>
      <c r="L204" s="8" t="n">
        <f aca="false">((C204-C203)/C203)*100</f>
        <v>-1.57726386999522</v>
      </c>
      <c r="M204" s="8" t="n">
        <f aca="false">((D204-D203)/D203)*100</f>
        <v>-3.70222133279968</v>
      </c>
      <c r="N204" s="8" t="n">
        <f aca="false">((E204-E203)/E203)*100</f>
        <v>-0.18686428980953</v>
      </c>
      <c r="O204" s="8" t="n">
        <f aca="false">((F204-F203)/F203)*100</f>
        <v>-0.0177247348675049</v>
      </c>
      <c r="P204" s="8" t="n">
        <f aca="false">((G204-G203)/G203)*100</f>
        <v>-0.504614108457483</v>
      </c>
      <c r="Q204" s="8" t="n">
        <f aca="false">((H204-H203)/H203)*100</f>
        <v>-0.380097121097374</v>
      </c>
      <c r="S204" s="9"/>
      <c r="V204" s="9" t="n">
        <f aca="false">K198-$V$4</f>
        <v>0.124777626660516</v>
      </c>
      <c r="W204" s="9" t="n">
        <f aca="false">L198-$W$4</f>
        <v>-0.340087246381617</v>
      </c>
      <c r="X204" s="9" t="n">
        <f aca="false">M198-$X$4</f>
        <v>0.406864720327191</v>
      </c>
      <c r="Y204" s="9" t="n">
        <f aca="false">N198-$Y$4</f>
        <v>-0.301671573260271</v>
      </c>
      <c r="Z204" s="9" t="n">
        <f aca="false">O198-$Z$4</f>
        <v>0.29393289348615</v>
      </c>
      <c r="AA204" s="9" t="n">
        <f aca="false">P198-$AA$4</f>
        <v>1.85440287267832</v>
      </c>
      <c r="AB204" s="9" t="n">
        <f aca="false">Q198-$AB$4</f>
        <v>-0.298711269526515</v>
      </c>
    </row>
    <row r="205" customFormat="false" ht="15.75" hidden="false" customHeight="false" outlineLevel="0" collapsed="false">
      <c r="A205" s="7" t="n">
        <v>45588</v>
      </c>
      <c r="B205" s="8" t="n">
        <v>2677.7</v>
      </c>
      <c r="C205" s="9" t="n">
        <v>4066.25</v>
      </c>
      <c r="D205" s="9" t="n">
        <v>2793.5</v>
      </c>
      <c r="E205" s="8" t="n">
        <v>2327.15</v>
      </c>
      <c r="F205" s="9" t="n">
        <v>1685.8</v>
      </c>
      <c r="G205" s="11" t="n">
        <v>1422.65</v>
      </c>
      <c r="H205" s="12" t="n">
        <v>0.533539665</v>
      </c>
      <c r="I205" s="12"/>
      <c r="J205" s="12"/>
      <c r="K205" s="8" t="n">
        <f aca="false">((B205-B204)/B204)*100</f>
        <v>-0.357235887321861</v>
      </c>
      <c r="L205" s="8" t="n">
        <f aca="false">((C205-C204)/C204)*100</f>
        <v>1.26385257128627</v>
      </c>
      <c r="M205" s="8" t="n">
        <f aca="false">((D205-D204)/D204)*100</f>
        <v>-3.24535882515932</v>
      </c>
      <c r="N205" s="8" t="n">
        <f aca="false">((E205-E204)/E204)*100</f>
        <v>-0.982874162323153</v>
      </c>
      <c r="O205" s="8" t="n">
        <f aca="false">((F205-F204)/F204)*100</f>
        <v>-0.381149357364458</v>
      </c>
      <c r="P205" s="8" t="n">
        <f aca="false">((G205-G204)/G204)*100</f>
        <v>-1.16024594434987</v>
      </c>
      <c r="Q205" s="8" t="n">
        <f aca="false">((H205-H204)/H204)*100</f>
        <v>-2.013934286974</v>
      </c>
      <c r="S205" s="9"/>
      <c r="V205" s="9" t="n">
        <f aca="false">K199-$V$4</f>
        <v>-2.07190319937478</v>
      </c>
      <c r="W205" s="9" t="n">
        <f aca="false">L199-$W$4</f>
        <v>-0.517476189782088</v>
      </c>
      <c r="X205" s="9" t="n">
        <f aca="false">M199-$X$4</f>
        <v>-0.220246556633695</v>
      </c>
      <c r="Y205" s="9" t="n">
        <f aca="false">N199-$Y$4</f>
        <v>-0.624920363858246</v>
      </c>
      <c r="Z205" s="9" t="n">
        <f aca="false">O199-$Z$4</f>
        <v>1.08481232924307</v>
      </c>
      <c r="AA205" s="9" t="n">
        <f aca="false">P199-$AA$4</f>
        <v>-1.14829401381062</v>
      </c>
      <c r="AB205" s="9" t="n">
        <f aca="false">Q199-$AB$4</f>
        <v>2.31505788043101</v>
      </c>
    </row>
    <row r="206" customFormat="false" ht="15.75" hidden="false" customHeight="false" outlineLevel="0" collapsed="false">
      <c r="A206" s="7" t="n">
        <v>45589</v>
      </c>
      <c r="B206" s="8" t="n">
        <v>2679.95</v>
      </c>
      <c r="C206" s="9" t="n">
        <v>4047.9</v>
      </c>
      <c r="D206" s="9" t="n">
        <v>2826.35</v>
      </c>
      <c r="E206" s="8" t="n">
        <v>2258.65</v>
      </c>
      <c r="F206" s="9" t="n">
        <v>1678.45</v>
      </c>
      <c r="G206" s="11" t="n">
        <v>1414</v>
      </c>
      <c r="H206" s="12" t="n">
        <v>0.525826466</v>
      </c>
      <c r="I206" s="12"/>
      <c r="J206" s="12"/>
      <c r="K206" s="8" t="n">
        <f aca="false">((B206-B205)/B205)*100</f>
        <v>0.0840273368936027</v>
      </c>
      <c r="L206" s="8" t="n">
        <f aca="false">((C206-C205)/C205)*100</f>
        <v>-0.451275745465722</v>
      </c>
      <c r="M206" s="8" t="n">
        <f aca="false">((D206-D205)/D205)*100</f>
        <v>1.1759441560766</v>
      </c>
      <c r="N206" s="8" t="n">
        <f aca="false">((E206-E205)/E205)*100</f>
        <v>-2.9435145994027</v>
      </c>
      <c r="O206" s="8" t="n">
        <f aca="false">((F206-F205)/F205)*100</f>
        <v>-0.435994779926439</v>
      </c>
      <c r="P206" s="8" t="n">
        <f aca="false">((G206-G205)/G205)*100</f>
        <v>-0.608020243911018</v>
      </c>
      <c r="Q206" s="8" t="n">
        <f aca="false">((H206-H205)/H205)*100</f>
        <v>-1.44566552516766</v>
      </c>
      <c r="S206" s="9"/>
      <c r="V206" s="9" t="n">
        <f aca="false">K200-$V$4</f>
        <v>0.763172092876286</v>
      </c>
      <c r="W206" s="9" t="n">
        <f aca="false">L200-$W$4</f>
        <v>-0.568371341173292</v>
      </c>
      <c r="X206" s="9" t="n">
        <f aca="false">M200-$X$4</f>
        <v>-3.03095245508983</v>
      </c>
      <c r="Y206" s="9" t="n">
        <f aca="false">N200-$Y$4</f>
        <v>-0.799082874138101</v>
      </c>
      <c r="Z206" s="9" t="n">
        <f aca="false">O200-$Z$4</f>
        <v>0.78046324812946</v>
      </c>
      <c r="AA206" s="9" t="n">
        <f aca="false">P200-$AA$4</f>
        <v>-0.767090167605652</v>
      </c>
      <c r="AB206" s="9" t="n">
        <f aca="false">Q200-$AB$4</f>
        <v>-1.89139904491867</v>
      </c>
    </row>
    <row r="207" customFormat="false" ht="15.75" hidden="false" customHeight="false" outlineLevel="0" collapsed="false">
      <c r="A207" s="7" t="n">
        <v>45590</v>
      </c>
      <c r="B207" s="8" t="n">
        <v>2655.45</v>
      </c>
      <c r="C207" s="9" t="n">
        <v>4057.55</v>
      </c>
      <c r="D207" s="9" t="n">
        <v>2720.85</v>
      </c>
      <c r="E207" s="8" t="n">
        <v>2260.7</v>
      </c>
      <c r="F207" s="9" t="n">
        <v>1666</v>
      </c>
      <c r="G207" s="11" t="n">
        <v>1382.35</v>
      </c>
      <c r="H207" s="12" t="n">
        <v>0.532028242</v>
      </c>
      <c r="I207" s="12"/>
      <c r="J207" s="12"/>
      <c r="K207" s="8" t="n">
        <f aca="false">((B207-B206)/B206)*100</f>
        <v>-0.914196160376127</v>
      </c>
      <c r="L207" s="8" t="n">
        <f aca="false">((C207-C206)/C206)*100</f>
        <v>0.238395217273156</v>
      </c>
      <c r="M207" s="8" t="n">
        <f aca="false">((D207-D206)/D206)*100</f>
        <v>-3.73272949210112</v>
      </c>
      <c r="N207" s="8" t="n">
        <f aca="false">((E207-E206)/E206)*100</f>
        <v>0.0907621809487848</v>
      </c>
      <c r="O207" s="8" t="n">
        <f aca="false">((F207-F206)/F206)*100</f>
        <v>-0.74175578658882</v>
      </c>
      <c r="P207" s="8" t="n">
        <f aca="false">((G207-G206)/G206)*100</f>
        <v>-2.23833097595474</v>
      </c>
      <c r="Q207" s="8" t="n">
        <f aca="false">((H207-H206)/H206)*100</f>
        <v>1.17943397698813</v>
      </c>
      <c r="S207" s="9"/>
      <c r="V207" s="9" t="n">
        <f aca="false">K201-$V$4</f>
        <v>0.216631955097057</v>
      </c>
      <c r="W207" s="9" t="n">
        <f aca="false">L201-$W$4</f>
        <v>0.305486231670548</v>
      </c>
      <c r="X207" s="9" t="n">
        <f aca="false">M201-$X$4</f>
        <v>-3.61904740379172</v>
      </c>
      <c r="Y207" s="9" t="n">
        <f aca="false">N201-$Y$4</f>
        <v>-3.30674161767349</v>
      </c>
      <c r="Z207" s="9" t="n">
        <f aca="false">O201-$Z$4</f>
        <v>-2.08365653663982</v>
      </c>
      <c r="AA207" s="9" t="n">
        <f aca="false">P201-$AA$4</f>
        <v>-0.0961569298680746</v>
      </c>
      <c r="AB207" s="9" t="n">
        <f aca="false">Q201-$AB$4</f>
        <v>0.613820947700461</v>
      </c>
    </row>
    <row r="208" customFormat="false" ht="15.75" hidden="false" customHeight="false" outlineLevel="0" collapsed="false">
      <c r="A208" s="7" t="n">
        <v>45593</v>
      </c>
      <c r="B208" s="10" t="n">
        <f aca="false">1334.3*2</f>
        <v>2668.6</v>
      </c>
      <c r="C208" s="9" t="n">
        <v>4090.85</v>
      </c>
      <c r="D208" s="9" t="n">
        <v>2781</v>
      </c>
      <c r="E208" s="8" t="n">
        <v>2272.05</v>
      </c>
      <c r="F208" s="9" t="n">
        <v>1663.35</v>
      </c>
      <c r="G208" s="11" t="n">
        <v>1374.35</v>
      </c>
      <c r="H208" s="12" t="n">
        <v>0.516356417</v>
      </c>
      <c r="I208" s="12"/>
      <c r="J208" s="12"/>
      <c r="K208" s="8" t="n">
        <f aca="false">((B208-B207)/B207)*100</f>
        <v>0.495207968517581</v>
      </c>
      <c r="L208" s="8" t="n">
        <f aca="false">((C208-C207)/C207)*100</f>
        <v>0.820692289682191</v>
      </c>
      <c r="M208" s="8" t="n">
        <f aca="false">((D208-D207)/D207)*100</f>
        <v>2.21070621313193</v>
      </c>
      <c r="N208" s="8" t="n">
        <f aca="false">((E208-E207)/E207)*100</f>
        <v>0.502056885035625</v>
      </c>
      <c r="O208" s="8" t="n">
        <f aca="false">((F208-F207)/F207)*100</f>
        <v>-0.159063625450186</v>
      </c>
      <c r="P208" s="8" t="n">
        <f aca="false">((G208-G207)/G207)*100</f>
        <v>-0.578724635584331</v>
      </c>
      <c r="Q208" s="8" t="n">
        <f aca="false">((H208-H207)/H207)*100</f>
        <v>-2.94567539142029</v>
      </c>
      <c r="S208" s="9"/>
      <c r="V208" s="9" t="n">
        <f aca="false">K202-$V$4</f>
        <v>0.166475570167069</v>
      </c>
      <c r="W208" s="9" t="n">
        <f aca="false">L202-$W$4</f>
        <v>0.304313042882386</v>
      </c>
      <c r="X208" s="9" t="n">
        <f aca="false">M202-$X$4</f>
        <v>-0.260579586986703</v>
      </c>
      <c r="Y208" s="9" t="n">
        <f aca="false">N202-$Y$4</f>
        <v>-1.10953517124936</v>
      </c>
      <c r="Z208" s="9" t="n">
        <f aca="false">O202-$Z$4</f>
        <v>0.201829388536799</v>
      </c>
      <c r="AA208" s="9" t="n">
        <f aca="false">P202-$AA$4</f>
        <v>-1.82013518463542</v>
      </c>
      <c r="AB208" s="9" t="n">
        <f aca="false">Q202-$AB$4</f>
        <v>-1.45560956268754</v>
      </c>
    </row>
    <row r="209" customFormat="false" ht="15.75" hidden="false" customHeight="false" outlineLevel="0" collapsed="false">
      <c r="A209" s="7" t="n">
        <v>45594</v>
      </c>
      <c r="B209" s="8" t="n">
        <f aca="false">S7*2</f>
        <v>2677.9</v>
      </c>
      <c r="C209" s="9" t="n">
        <v>4075.25</v>
      </c>
      <c r="D209" s="9" t="n">
        <v>2746.9</v>
      </c>
      <c r="E209" s="8" t="n">
        <v>2267.4</v>
      </c>
      <c r="F209" s="9" t="n">
        <v>1637.1</v>
      </c>
      <c r="G209" s="11" t="n">
        <v>1367.35</v>
      </c>
      <c r="H209" s="12" t="n">
        <v>0.519100272</v>
      </c>
      <c r="I209" s="12"/>
      <c r="J209" s="12"/>
      <c r="K209" s="8" t="n">
        <f aca="false">((B209-B208)/B208)*100</f>
        <v>0.348497339428921</v>
      </c>
      <c r="L209" s="8" t="n">
        <f aca="false">((C209-C208)/C208)*100</f>
        <v>-0.381338841561043</v>
      </c>
      <c r="M209" s="8" t="n">
        <f aca="false">((D209-D208)/D208)*100</f>
        <v>-1.22617763394462</v>
      </c>
      <c r="N209" s="8" t="n">
        <f aca="false">((E209-E208)/E208)*100</f>
        <v>-0.204660988974718</v>
      </c>
      <c r="O209" s="8" t="n">
        <f aca="false">((F209-F208)/F208)*100</f>
        <v>-1.57814049959419</v>
      </c>
      <c r="P209" s="8" t="n">
        <f aca="false">((G209-G208)/G208)*100</f>
        <v>-0.509331684068833</v>
      </c>
      <c r="Q209" s="8" t="n">
        <f aca="false">((H209-H208)/H208)*100</f>
        <v>0.531387799137192</v>
      </c>
      <c r="S209" s="9"/>
      <c r="V209" s="9" t="n">
        <f aca="false">K203-$V$4</f>
        <v>0.777091931767654</v>
      </c>
      <c r="W209" s="9" t="n">
        <f aca="false">L203-$W$4</f>
        <v>-1.08538733655229</v>
      </c>
      <c r="X209" s="9" t="n">
        <f aca="false">M203-$X$4</f>
        <v>0.896541394006113</v>
      </c>
      <c r="Y209" s="9" t="n">
        <f aca="false">N203-$Y$4</f>
        <v>0.273710400655105</v>
      </c>
      <c r="Z209" s="9" t="n">
        <f aca="false">O203-$Z$4</f>
        <v>-1.0878850495945</v>
      </c>
      <c r="AA209" s="9" t="n">
        <f aca="false">P203-$AA$4</f>
        <v>0.436019160178513</v>
      </c>
      <c r="AB209" s="9" t="n">
        <f aca="false">Q203-$AB$4</f>
        <v>-0.14975978407579</v>
      </c>
    </row>
    <row r="210" customFormat="false" ht="15.75" hidden="false" customHeight="false" outlineLevel="0" collapsed="false">
      <c r="A210" s="7" t="n">
        <v>45595</v>
      </c>
      <c r="B210" s="8" t="n">
        <f aca="false">S8*2</f>
        <v>2687.9</v>
      </c>
      <c r="C210" s="9" t="n">
        <v>4084.65</v>
      </c>
      <c r="D210" s="9" t="n">
        <v>2707.7</v>
      </c>
      <c r="E210" s="8" t="n">
        <v>2276.3</v>
      </c>
      <c r="F210" s="9" t="n">
        <v>1633.35</v>
      </c>
      <c r="G210" s="11" t="n">
        <v>1366.65</v>
      </c>
      <c r="H210" s="12" t="n">
        <v>0.528517656</v>
      </c>
      <c r="I210" s="12"/>
      <c r="J210" s="12"/>
      <c r="K210" s="8" t="n">
        <f aca="false">((B210-B209)/B209)*100</f>
        <v>0.373426939019381</v>
      </c>
      <c r="L210" s="8" t="n">
        <f aca="false">((C210-C209)/C209)*100</f>
        <v>0.230660695662845</v>
      </c>
      <c r="M210" s="8" t="n">
        <f aca="false">((D210-D209)/D209)*100</f>
        <v>-1.42706323491937</v>
      </c>
      <c r="N210" s="8" t="n">
        <f aca="false">((E210-E209)/E209)*100</f>
        <v>0.392520067037139</v>
      </c>
      <c r="O210" s="8" t="n">
        <f aca="false">((F210-F209)/F209)*100</f>
        <v>-0.229063588052043</v>
      </c>
      <c r="P210" s="8" t="n">
        <f aca="false">((G210-G209)/G209)*100</f>
        <v>-0.0511939152374899</v>
      </c>
      <c r="Q210" s="8" t="n">
        <f aca="false">((H210-H209)/H209)*100</f>
        <v>1.81417435281175</v>
      </c>
      <c r="S210" s="9"/>
      <c r="V210" s="9" t="n">
        <f aca="false">K204-$V$4</f>
        <v>-1.84530102401699</v>
      </c>
      <c r="W210" s="9" t="n">
        <f aca="false">L204-$W$4</f>
        <v>-1.61488317074876</v>
      </c>
      <c r="X210" s="9" t="n">
        <f aca="false">M204-$X$4</f>
        <v>-3.95099494258879</v>
      </c>
      <c r="Y210" s="9" t="n">
        <f aca="false">N204-$Y$4</f>
        <v>-0.100368015311221</v>
      </c>
      <c r="Z210" s="9" t="n">
        <f aca="false">O204-$Z$4</f>
        <v>-0.209746564624203</v>
      </c>
      <c r="AA210" s="9" t="n">
        <f aca="false">P204-$AA$4</f>
        <v>-0.485073621100267</v>
      </c>
      <c r="AB210" s="9" t="n">
        <f aca="false">Q204-$AB$4</f>
        <v>-1.05935483750052</v>
      </c>
    </row>
    <row r="211" customFormat="false" ht="15.75" hidden="false" customHeight="false" outlineLevel="0" collapsed="false">
      <c r="A211" s="7" t="n">
        <v>45596</v>
      </c>
      <c r="B211" s="8" t="n">
        <f aca="false">S9*2</f>
        <v>2665.2</v>
      </c>
      <c r="C211" s="9" t="n">
        <v>3968.45</v>
      </c>
      <c r="D211" s="9" t="n">
        <v>2728.55</v>
      </c>
      <c r="E211" s="8" t="n">
        <v>2262.95</v>
      </c>
      <c r="F211" s="9" t="n">
        <v>1612.6</v>
      </c>
      <c r="G211" s="11" t="n">
        <v>1362.35</v>
      </c>
      <c r="H211" s="12" t="n">
        <v>0.522652035</v>
      </c>
      <c r="I211" s="12"/>
      <c r="J211" s="12"/>
      <c r="K211" s="8" t="n">
        <f aca="false">((B211-B210)/B210)*100</f>
        <v>-0.844525465977167</v>
      </c>
      <c r="L211" s="8" t="n">
        <f aca="false">((C211-C210)/C210)*100</f>
        <v>-2.84479698382971</v>
      </c>
      <c r="M211" s="8" t="n">
        <f aca="false">((D211-D210)/D210)*100</f>
        <v>0.77002622151643</v>
      </c>
      <c r="N211" s="8" t="n">
        <f aca="false">((E211-E210)/E210)*100</f>
        <v>-0.586478056495206</v>
      </c>
      <c r="O211" s="8" t="n">
        <f aca="false">((F211-F210)/F210)*100</f>
        <v>-1.27039520004898</v>
      </c>
      <c r="P211" s="8" t="n">
        <f aca="false">((G211-G210)/G210)*100</f>
        <v>-0.314637983390055</v>
      </c>
      <c r="Q211" s="8" t="n">
        <f aca="false">((H211-H210)/H210)*100</f>
        <v>-1.10982498567654</v>
      </c>
      <c r="S211" s="9"/>
      <c r="V211" s="9" t="n">
        <f aca="false">K205-$V$4</f>
        <v>-0.341859471368076</v>
      </c>
      <c r="W211" s="9" t="n">
        <f aca="false">L205-$W$4</f>
        <v>1.22623327053273</v>
      </c>
      <c r="X211" s="9" t="n">
        <f aca="false">M205-$X$4</f>
        <v>-3.49413243494843</v>
      </c>
      <c r="Y211" s="9" t="n">
        <f aca="false">N205-$Y$4</f>
        <v>-0.896377887824845</v>
      </c>
      <c r="Z211" s="9" t="n">
        <f aca="false">O205-$Z$4</f>
        <v>-0.573171187121156</v>
      </c>
      <c r="AA211" s="9" t="n">
        <f aca="false">P205-$AA$4</f>
        <v>-1.14070545699265</v>
      </c>
      <c r="AB211" s="9" t="n">
        <f aca="false">Q205-$AB$4</f>
        <v>-2.69319200337715</v>
      </c>
    </row>
    <row r="212" customFormat="false" ht="15.75" hidden="false" customHeight="false" outlineLevel="0" collapsed="false">
      <c r="A212" s="7" t="n">
        <v>45597</v>
      </c>
      <c r="B212" s="8" t="n">
        <f aca="false">S10*2</f>
        <v>2678.2</v>
      </c>
      <c r="C212" s="9" t="n">
        <v>3984.2</v>
      </c>
      <c r="D212" s="9" t="n">
        <v>2817.65</v>
      </c>
      <c r="E212" s="8" t="n">
        <v>2282.3</v>
      </c>
      <c r="F212" s="9" t="n">
        <v>1616.45</v>
      </c>
      <c r="G212" s="11" t="n">
        <v>1370</v>
      </c>
      <c r="H212" s="12" t="n">
        <v>0.509112255</v>
      </c>
      <c r="I212" s="12"/>
      <c r="J212" s="12"/>
      <c r="K212" s="8" t="n">
        <f aca="false">((B212-B211)/B211)*100</f>
        <v>0.487768272549903</v>
      </c>
      <c r="L212" s="8" t="n">
        <f aca="false">((C212-C211)/C211)*100</f>
        <v>0.396880394108531</v>
      </c>
      <c r="M212" s="8" t="n">
        <f aca="false">((D212-D211)/D211)*100</f>
        <v>3.26547067123563</v>
      </c>
      <c r="N212" s="8" t="n">
        <f aca="false">((E212-E211)/E211)*100</f>
        <v>0.855078547913138</v>
      </c>
      <c r="O212" s="8" t="n">
        <f aca="false">((F212-F211)/F211)*100</f>
        <v>0.238744884038208</v>
      </c>
      <c r="P212" s="8" t="n">
        <f aca="false">((G212-G211)/G211)*100</f>
        <v>0.561529709692817</v>
      </c>
      <c r="Q212" s="8" t="n">
        <f aca="false">((H212-H211)/H211)*100</f>
        <v>-2.59059165434992</v>
      </c>
      <c r="S212" s="9"/>
      <c r="V212" s="9" t="n">
        <f aca="false">K206-$V$4</f>
        <v>0.0994037528473872</v>
      </c>
      <c r="W212" s="9" t="n">
        <f aca="false">L206-$W$4</f>
        <v>-0.488895046219261</v>
      </c>
      <c r="X212" s="9" t="n">
        <f aca="false">M206-$X$4</f>
        <v>0.927170546287496</v>
      </c>
      <c r="Y212" s="9" t="n">
        <f aca="false">N206-$Y$4</f>
        <v>-2.85701832490439</v>
      </c>
      <c r="Z212" s="9" t="n">
        <f aca="false">O206-$Z$4</f>
        <v>-0.628016609683137</v>
      </c>
      <c r="AA212" s="9" t="n">
        <f aca="false">P206-$AA$4</f>
        <v>-0.588479756553801</v>
      </c>
      <c r="AB212" s="9" t="n">
        <f aca="false">Q206-$AB$4</f>
        <v>-2.12492324157081</v>
      </c>
    </row>
    <row r="213" customFormat="false" ht="15.75" hidden="false" customHeight="false" outlineLevel="0" collapsed="false">
      <c r="A213" s="7" t="n">
        <v>45600</v>
      </c>
      <c r="B213" s="8" t="n">
        <f aca="false">S11*2</f>
        <v>2604</v>
      </c>
      <c r="C213" s="9" t="n">
        <v>3964.15</v>
      </c>
      <c r="D213" s="9" t="n">
        <v>2883.95</v>
      </c>
      <c r="E213" s="8" t="n">
        <v>2246.2</v>
      </c>
      <c r="F213" s="9" t="n">
        <v>1591.25</v>
      </c>
      <c r="G213" s="11" t="n">
        <v>1374</v>
      </c>
      <c r="H213" s="12" t="n">
        <v>0.503000043</v>
      </c>
      <c r="I213" s="12"/>
      <c r="J213" s="12"/>
      <c r="K213" s="8" t="n">
        <f aca="false">((B213-B212)/B212)*100</f>
        <v>-2.77051751176162</v>
      </c>
      <c r="L213" s="8" t="n">
        <f aca="false">((C213-C212)/C212)*100</f>
        <v>-0.5032377892676</v>
      </c>
      <c r="M213" s="8" t="n">
        <f aca="false">((D213-D212)/D212)*100</f>
        <v>2.3530246836903</v>
      </c>
      <c r="N213" s="8" t="n">
        <f aca="false">((E213-E212)/E212)*100</f>
        <v>-1.58173772072034</v>
      </c>
      <c r="O213" s="8" t="n">
        <f aca="false">((F213-F212)/F212)*100</f>
        <v>-1.5589718209657</v>
      </c>
      <c r="P213" s="8" t="n">
        <f aca="false">((G213-G212)/G212)*100</f>
        <v>0.291970802919708</v>
      </c>
      <c r="Q213" s="8" t="n">
        <f aca="false">((H213-H212)/H212)*100</f>
        <v>-1.20056273247636</v>
      </c>
      <c r="S213" s="9"/>
      <c r="V213" s="9" t="n">
        <f aca="false">K207-$V$4</f>
        <v>-0.898819744422342</v>
      </c>
      <c r="W213" s="9" t="n">
        <f aca="false">L207-$W$4</f>
        <v>0.200775916519617</v>
      </c>
      <c r="X213" s="9" t="n">
        <f aca="false">M207-$X$4</f>
        <v>-3.98150310189023</v>
      </c>
      <c r="Y213" s="9" t="n">
        <f aca="false">N207-$Y$4</f>
        <v>0.177258455447094</v>
      </c>
      <c r="Z213" s="9" t="n">
        <f aca="false">O207-$Z$4</f>
        <v>-0.933777616345518</v>
      </c>
      <c r="AA213" s="9" t="n">
        <f aca="false">P207-$AA$4</f>
        <v>-2.21879048859753</v>
      </c>
      <c r="AB213" s="9" t="n">
        <f aca="false">Q207-$AB$4</f>
        <v>0.500176260584981</v>
      </c>
    </row>
    <row r="214" customFormat="false" ht="15.75" hidden="false" customHeight="false" outlineLevel="0" collapsed="false">
      <c r="A214" s="7" t="n">
        <v>45601</v>
      </c>
      <c r="B214" s="8" t="n">
        <f aca="false">S12*2</f>
        <v>2611.9</v>
      </c>
      <c r="C214" s="9" t="n">
        <v>3971.35</v>
      </c>
      <c r="D214" s="9" t="n">
        <v>2899.45</v>
      </c>
      <c r="E214" s="8" t="n">
        <v>2262.45</v>
      </c>
      <c r="F214" s="9" t="n">
        <v>1578.4</v>
      </c>
      <c r="G214" s="11" t="n">
        <v>1376.65</v>
      </c>
      <c r="H214" s="12" t="n">
        <v>0.50287415</v>
      </c>
      <c r="I214" s="12"/>
      <c r="J214" s="12"/>
      <c r="K214" s="8" t="n">
        <f aca="false">((B214-B213)/B213)*100</f>
        <v>0.303379416282646</v>
      </c>
      <c r="L214" s="8" t="n">
        <f aca="false">((C214-C213)/C213)*100</f>
        <v>0.181627839511618</v>
      </c>
      <c r="M214" s="8" t="n">
        <f aca="false">((D214-D213)/D213)*100</f>
        <v>0.537457306818773</v>
      </c>
      <c r="N214" s="8" t="n">
        <f aca="false">((E214-E213)/E213)*100</f>
        <v>0.72344403882112</v>
      </c>
      <c r="O214" s="8" t="n">
        <f aca="false">((F214-F213)/F213)*100</f>
        <v>-0.807541241162602</v>
      </c>
      <c r="P214" s="8" t="n">
        <f aca="false">((G214-G213)/G213)*100</f>
        <v>0.192867540029119</v>
      </c>
      <c r="Q214" s="8" t="n">
        <f aca="false">((H214-H213)/H213)*100</f>
        <v>-0.0250284272838498</v>
      </c>
      <c r="S214" s="9"/>
      <c r="V214" s="9" t="n">
        <f aca="false">K208-$V$4</f>
        <v>0.510584384471365</v>
      </c>
      <c r="W214" s="9" t="n">
        <f aca="false">L208-$W$4</f>
        <v>0.783072988928651</v>
      </c>
      <c r="X214" s="9" t="n">
        <f aca="false">M208-$X$4</f>
        <v>1.96193260334282</v>
      </c>
      <c r="Y214" s="9" t="n">
        <f aca="false">N208-$Y$4</f>
        <v>0.588553159533933</v>
      </c>
      <c r="Z214" s="9" t="n">
        <f aca="false">O208-$Z$4</f>
        <v>-0.351085455206883</v>
      </c>
      <c r="AA214" s="9" t="n">
        <f aca="false">P208-$AA$4</f>
        <v>-0.559184148227114</v>
      </c>
      <c r="AB214" s="9" t="n">
        <f aca="false">Q208-$AB$4</f>
        <v>-3.62493310782344</v>
      </c>
    </row>
    <row r="215" customFormat="false" ht="15.75" hidden="false" customHeight="false" outlineLevel="0" collapsed="false">
      <c r="A215" s="7" t="n">
        <v>45602</v>
      </c>
      <c r="B215" s="8" t="n">
        <f aca="false">S13*2</f>
        <v>2651.1</v>
      </c>
      <c r="C215" s="9" t="n">
        <v>4139.65</v>
      </c>
      <c r="D215" s="9" t="n">
        <v>2934.55</v>
      </c>
      <c r="E215" s="8" t="n">
        <v>2275.6</v>
      </c>
      <c r="F215" s="9" t="n">
        <v>1598.8</v>
      </c>
      <c r="G215" s="11" t="n">
        <v>1365</v>
      </c>
      <c r="H215" s="12" t="n">
        <v>0.512803359</v>
      </c>
      <c r="I215" s="12"/>
      <c r="J215" s="12"/>
      <c r="K215" s="8" t="n">
        <f aca="false">((B215-B214)/B214)*100</f>
        <v>1.50082315555725</v>
      </c>
      <c r="L215" s="8" t="n">
        <f aca="false">((C215-C214)/C214)*100</f>
        <v>4.23785362660052</v>
      </c>
      <c r="M215" s="8" t="n">
        <f aca="false">((D215-D214)/D214)*100</f>
        <v>1.21057441928643</v>
      </c>
      <c r="N215" s="8" t="n">
        <f aca="false">((E215-E214)/E214)*100</f>
        <v>0.581228314437892</v>
      </c>
      <c r="O215" s="8" t="n">
        <f aca="false">((F215-F214)/F214)*100</f>
        <v>1.29244804865686</v>
      </c>
      <c r="P215" s="8" t="n">
        <f aca="false">((G215-G214)/G214)*100</f>
        <v>-0.846257218610401</v>
      </c>
      <c r="Q215" s="8" t="n">
        <f aca="false">((H215-H214)/H214)*100</f>
        <v>1.97449182862152</v>
      </c>
      <c r="S215" s="9"/>
      <c r="V215" s="9" t="n">
        <f aca="false">K209-$V$4</f>
        <v>0.363873755382705</v>
      </c>
      <c r="W215" s="9" t="n">
        <f aca="false">L209-$W$4</f>
        <v>-0.418958142314582</v>
      </c>
      <c r="X215" s="9" t="n">
        <f aca="false">M209-$X$4</f>
        <v>-1.47495124373373</v>
      </c>
      <c r="Y215" s="9" t="n">
        <f aca="false">N209-$Y$4</f>
        <v>-0.11816471447641</v>
      </c>
      <c r="Z215" s="9" t="n">
        <f aca="false">O209-$Z$4</f>
        <v>-1.77016232935089</v>
      </c>
      <c r="AA215" s="9" t="n">
        <f aca="false">P209-$AA$4</f>
        <v>-0.489791196711616</v>
      </c>
      <c r="AB215" s="9" t="n">
        <f aca="false">Q209-$AB$4</f>
        <v>-0.147869917265957</v>
      </c>
    </row>
    <row r="216" customFormat="false" ht="15.75" hidden="false" customHeight="false" outlineLevel="0" collapsed="false">
      <c r="A216" s="7" t="n">
        <v>45603</v>
      </c>
      <c r="B216" s="8" t="n">
        <f aca="false">S14*2</f>
        <v>2611.3</v>
      </c>
      <c r="C216" s="9" t="n">
        <v>4150.9</v>
      </c>
      <c r="D216" s="9" t="n">
        <v>2891.35</v>
      </c>
      <c r="E216" s="8" t="n">
        <v>2262.85</v>
      </c>
      <c r="F216" s="9" t="n">
        <v>1575.8</v>
      </c>
      <c r="G216" s="11" t="n">
        <v>1375</v>
      </c>
      <c r="H216" s="12" t="n">
        <v>0.542482436</v>
      </c>
      <c r="I216" s="12"/>
      <c r="J216" s="12"/>
      <c r="K216" s="8" t="n">
        <f aca="false">((B216-B215)/B215)*100</f>
        <v>-1.50126362641921</v>
      </c>
      <c r="L216" s="8" t="n">
        <f aca="false">((C216-C215)/C215)*100</f>
        <v>0.27176210549201</v>
      </c>
      <c r="M216" s="8" t="n">
        <f aca="false">((D216-D215)/D215)*100</f>
        <v>-1.47211667887752</v>
      </c>
      <c r="N216" s="8" t="n">
        <f aca="false">((E216-E215)/E215)*100</f>
        <v>-0.560291791175954</v>
      </c>
      <c r="O216" s="8" t="n">
        <f aca="false">((F216-F215)/F215)*100</f>
        <v>-1.43857893420065</v>
      </c>
      <c r="P216" s="8" t="n">
        <f aca="false">((G216-G215)/G215)*100</f>
        <v>0.732600732600733</v>
      </c>
      <c r="Q216" s="8" t="n">
        <f aca="false">((H216-H215)/H215)*100</f>
        <v>5.7876136103859</v>
      </c>
      <c r="S216" s="9"/>
      <c r="V216" s="9" t="n">
        <f aca="false">K210-$V$4</f>
        <v>0.388803354973165</v>
      </c>
      <c r="W216" s="9" t="n">
        <f aca="false">L210-$W$4</f>
        <v>0.193041394909306</v>
      </c>
      <c r="X216" s="9" t="n">
        <f aca="false">M210-$X$4</f>
        <v>-1.67583684470848</v>
      </c>
      <c r="Y216" s="9" t="n">
        <f aca="false">N210-$Y$4</f>
        <v>0.479016341535448</v>
      </c>
      <c r="Z216" s="9" t="n">
        <f aca="false">O210-$Z$4</f>
        <v>-0.421085417808741</v>
      </c>
      <c r="AA216" s="9" t="n">
        <f aca="false">P210-$AA$4</f>
        <v>-0.0316534278802732</v>
      </c>
      <c r="AB216" s="9" t="n">
        <f aca="false">Q210-$AB$4</f>
        <v>1.1349166364086</v>
      </c>
    </row>
    <row r="217" customFormat="false" ht="15.75" hidden="false" customHeight="false" outlineLevel="0" collapsed="false">
      <c r="A217" s="7" t="n">
        <v>45604</v>
      </c>
      <c r="B217" s="8" t="n">
        <f aca="false">S15*2</f>
        <v>2568</v>
      </c>
      <c r="C217" s="9" t="n">
        <v>4147</v>
      </c>
      <c r="D217" s="9" t="n">
        <v>2974.9</v>
      </c>
      <c r="E217" s="8" t="n">
        <v>2295.65</v>
      </c>
      <c r="F217" s="9" t="n">
        <v>1569.9</v>
      </c>
      <c r="G217" s="11" t="n">
        <v>1389.35</v>
      </c>
      <c r="H217" s="12" t="n">
        <v>0.554355453</v>
      </c>
      <c r="I217" s="12"/>
      <c r="J217" s="12"/>
      <c r="K217" s="8" t="n">
        <f aca="false">((B217-B216)/B216)*100</f>
        <v>-1.65817791904416</v>
      </c>
      <c r="L217" s="8" t="n">
        <f aca="false">((C217-C216)/C216)*100</f>
        <v>-0.0939555277168719</v>
      </c>
      <c r="M217" s="8" t="n">
        <f aca="false">((D217-D216)/D216)*100</f>
        <v>2.88965362201049</v>
      </c>
      <c r="N217" s="8" t="n">
        <f aca="false">((E217-E216)/E216)*100</f>
        <v>1.44949952493538</v>
      </c>
      <c r="O217" s="8" t="n">
        <f aca="false">((F217-F216)/F216)*100</f>
        <v>-0.374412996573161</v>
      </c>
      <c r="P217" s="8" t="n">
        <f aca="false">((G217-G216)/G216)*100</f>
        <v>1.04363636363636</v>
      </c>
      <c r="Q217" s="8" t="n">
        <f aca="false">((H217-H216)/H216)*100</f>
        <v>2.18864542187685</v>
      </c>
      <c r="S217" s="9"/>
      <c r="V217" s="9" t="n">
        <f aca="false">K211-$V$4</f>
        <v>-0.829149050023383</v>
      </c>
      <c r="W217" s="9" t="n">
        <f aca="false">L211-$W$4</f>
        <v>-2.88241628458325</v>
      </c>
      <c r="X217" s="9" t="n">
        <f aca="false">M211-$X$4</f>
        <v>0.521252611727322</v>
      </c>
      <c r="Y217" s="9" t="n">
        <f aca="false">N211-$Y$4</f>
        <v>-0.499981781996897</v>
      </c>
      <c r="Z217" s="9" t="n">
        <f aca="false">O211-$Z$4</f>
        <v>-1.46241702980568</v>
      </c>
      <c r="AA217" s="9" t="n">
        <f aca="false">P211-$AA$4</f>
        <v>-0.295097496032838</v>
      </c>
      <c r="AB217" s="9" t="n">
        <f aca="false">Q211-$AB$4</f>
        <v>-1.78908270207969</v>
      </c>
    </row>
    <row r="218" customFormat="false" ht="15.75" hidden="false" customHeight="false" outlineLevel="0" collapsed="false">
      <c r="A218" s="7" t="n">
        <v>45607</v>
      </c>
      <c r="B218" s="8" t="n">
        <f aca="false">S16*2</f>
        <v>2546.1</v>
      </c>
      <c r="C218" s="9" t="n">
        <v>4198.7</v>
      </c>
      <c r="D218" s="9" t="n">
        <v>2930.6</v>
      </c>
      <c r="E218" s="8" t="n">
        <v>2279.05</v>
      </c>
      <c r="F218" s="9" t="n">
        <v>1560.55</v>
      </c>
      <c r="G218" s="11" t="n">
        <v>1375</v>
      </c>
      <c r="H218" s="12" t="n">
        <v>0.589438934</v>
      </c>
      <c r="I218" s="12"/>
      <c r="J218" s="12"/>
      <c r="K218" s="8" t="n">
        <f aca="false">((B218-B217)/B217)*100</f>
        <v>-0.852803738317761</v>
      </c>
      <c r="L218" s="8" t="n">
        <f aca="false">((C218-C217)/C217)*100</f>
        <v>1.24668435013262</v>
      </c>
      <c r="M218" s="8" t="n">
        <f aca="false">((D218-D217)/D217)*100</f>
        <v>-1.48912568489698</v>
      </c>
      <c r="N218" s="8" t="n">
        <f aca="false">((E218-E217)/E217)*100</f>
        <v>-0.723106745366232</v>
      </c>
      <c r="O218" s="8" t="n">
        <f aca="false">((F218-F217)/F217)*100</f>
        <v>-0.595579336263465</v>
      </c>
      <c r="P218" s="8" t="n">
        <f aca="false">((G218-G217)/G217)*100</f>
        <v>-1.03285709144563</v>
      </c>
      <c r="Q218" s="8" t="n">
        <f aca="false">((H218-H217)/H217)*100</f>
        <v>6.32869773538604</v>
      </c>
      <c r="S218" s="9"/>
      <c r="V218" s="9" t="n">
        <f aca="false">K212-$V$4</f>
        <v>0.503144688503687</v>
      </c>
      <c r="W218" s="9" t="n">
        <f aca="false">L212-$W$4</f>
        <v>0.359261093354992</v>
      </c>
      <c r="X218" s="9" t="n">
        <f aca="false">M212-$X$4</f>
        <v>3.01669706144653</v>
      </c>
      <c r="Y218" s="9" t="n">
        <f aca="false">N212-$Y$4</f>
        <v>0.941574822411447</v>
      </c>
      <c r="Z218" s="9" t="n">
        <f aca="false">O212-$Z$4</f>
        <v>0.0467230542815097</v>
      </c>
      <c r="AA218" s="9" t="n">
        <f aca="false">P212-$AA$4</f>
        <v>0.581070197050034</v>
      </c>
      <c r="AB218" s="9" t="n">
        <f aca="false">Q212-$AB$4</f>
        <v>-3.26984937075306</v>
      </c>
    </row>
    <row r="219" customFormat="false" ht="15.75" hidden="false" customHeight="false" outlineLevel="0" collapsed="false">
      <c r="A219" s="7" t="n">
        <v>45608</v>
      </c>
      <c r="B219" s="8" t="n">
        <f aca="false">S17*2</f>
        <v>2546.2</v>
      </c>
      <c r="C219" s="9" t="n">
        <v>4197.4</v>
      </c>
      <c r="D219" s="9" t="n">
        <v>2898.55</v>
      </c>
      <c r="E219" s="8" t="n">
        <v>2256.2</v>
      </c>
      <c r="F219" s="9" t="n">
        <v>1555.65</v>
      </c>
      <c r="G219" s="11" t="n">
        <v>1366.65</v>
      </c>
      <c r="H219" s="12" t="n">
        <v>0.619384695</v>
      </c>
      <c r="I219" s="12"/>
      <c r="J219" s="12"/>
      <c r="K219" s="8" t="n">
        <f aca="false">((B219-B218)/B218)*100</f>
        <v>0.00392757550763556</v>
      </c>
      <c r="L219" s="8" t="n">
        <f aca="false">((C219-C218)/C218)*100</f>
        <v>-0.0309619644175622</v>
      </c>
      <c r="M219" s="8" t="n">
        <f aca="false">((D219-D218)/D218)*100</f>
        <v>-1.0936327032007</v>
      </c>
      <c r="N219" s="8" t="n">
        <f aca="false">((E219-E218)/E218)*100</f>
        <v>-1.00261073692988</v>
      </c>
      <c r="O219" s="8" t="n">
        <f aca="false">((F219-F218)/F218)*100</f>
        <v>-0.313991861843572</v>
      </c>
      <c r="P219" s="8" t="n">
        <f aca="false">((G219-G218)/G218)*100</f>
        <v>-0.607272727272721</v>
      </c>
      <c r="Q219" s="8" t="n">
        <f aca="false">((H219-H218)/H218)*100</f>
        <v>5.0803839503415</v>
      </c>
      <c r="S219" s="9"/>
      <c r="V219" s="9" t="n">
        <f aca="false">K213-$V$4</f>
        <v>-2.75514109580784</v>
      </c>
      <c r="W219" s="9" t="n">
        <f aca="false">L213-$W$4</f>
        <v>-0.54085709002114</v>
      </c>
      <c r="X219" s="9" t="n">
        <f aca="false">M213-$X$4</f>
        <v>2.10425107390119</v>
      </c>
      <c r="Y219" s="9" t="n">
        <f aca="false">N213-$Y$4</f>
        <v>-1.49524144622203</v>
      </c>
      <c r="Z219" s="9" t="n">
        <f aca="false">O213-$Z$4</f>
        <v>-1.7509936507224</v>
      </c>
      <c r="AA219" s="9" t="n">
        <f aca="false">P213-$AA$4</f>
        <v>0.311511290276925</v>
      </c>
      <c r="AB219" s="9" t="n">
        <f aca="false">Q213-$AB$4</f>
        <v>-1.87982044887951</v>
      </c>
    </row>
    <row r="220" customFormat="false" ht="15.75" hidden="false" customHeight="false" outlineLevel="0" collapsed="false">
      <c r="A220" s="7" t="n">
        <v>45609</v>
      </c>
      <c r="B220" s="8" t="n">
        <f aca="false">S18*2</f>
        <v>2504.5</v>
      </c>
      <c r="C220" s="9" t="n">
        <v>4150.35</v>
      </c>
      <c r="D220" s="9" t="n">
        <v>2798.95</v>
      </c>
      <c r="E220" s="8" t="n">
        <v>2235.25</v>
      </c>
      <c r="F220" s="9" t="n">
        <v>1550.45</v>
      </c>
      <c r="G220" s="11" t="n">
        <v>1356</v>
      </c>
      <c r="H220" s="12" t="n">
        <v>0.712569638</v>
      </c>
      <c r="I220" s="12"/>
      <c r="J220" s="12"/>
      <c r="K220" s="8" t="n">
        <f aca="false">((B220-B219)/B219)*100</f>
        <v>-1.63773466341999</v>
      </c>
      <c r="L220" s="8" t="n">
        <f aca="false">((C220-C219)/C219)*100</f>
        <v>-1.12093200552721</v>
      </c>
      <c r="M220" s="8" t="n">
        <f aca="false">((D220-D219)/D219)*100</f>
        <v>-3.43620085905023</v>
      </c>
      <c r="N220" s="8" t="n">
        <f aca="false">((E220-E219)/E219)*100</f>
        <v>-0.928552433294913</v>
      </c>
      <c r="O220" s="8" t="n">
        <f aca="false">((F220-F219)/F219)*100</f>
        <v>-0.334265419599527</v>
      </c>
      <c r="P220" s="8" t="n">
        <f aca="false">((G220-G219)/G219)*100</f>
        <v>-0.77927779607069</v>
      </c>
      <c r="Q220" s="8" t="n">
        <f aca="false">((H220-H219)/H219)*100</f>
        <v>15.0447603488168</v>
      </c>
      <c r="S220" s="9"/>
      <c r="V220" s="9" t="n">
        <f aca="false">K214-$V$4</f>
        <v>0.31875583223643</v>
      </c>
      <c r="W220" s="9" t="n">
        <f aca="false">L214-$W$4</f>
        <v>0.144008538758079</v>
      </c>
      <c r="X220" s="9" t="n">
        <f aca="false">M214-$X$4</f>
        <v>0.288683697029666</v>
      </c>
      <c r="Y220" s="9" t="n">
        <f aca="false">N214-$Y$4</f>
        <v>0.809940313319429</v>
      </c>
      <c r="Z220" s="9" t="n">
        <f aca="false">O214-$Z$4</f>
        <v>-0.9995630709193</v>
      </c>
      <c r="AA220" s="9" t="n">
        <f aca="false">P214-$AA$4</f>
        <v>0.212408027386335</v>
      </c>
      <c r="AB220" s="9" t="n">
        <f aca="false">Q214-$AB$4</f>
        <v>-0.704286143686999</v>
      </c>
    </row>
    <row r="221" customFormat="false" ht="15.75" hidden="false" customHeight="false" outlineLevel="0" collapsed="false">
      <c r="A221" s="7" t="n">
        <v>45610</v>
      </c>
      <c r="B221" s="8" t="n">
        <f aca="false">S19*2</f>
        <v>2535.4</v>
      </c>
      <c r="C221" s="9" t="n">
        <v>4145.9</v>
      </c>
      <c r="D221" s="9" t="n">
        <v>2807.2</v>
      </c>
      <c r="E221" s="8" t="n">
        <v>2182.8</v>
      </c>
      <c r="F221" s="9" t="n">
        <v>1550.5</v>
      </c>
      <c r="G221" s="11" t="n">
        <v>1346.65</v>
      </c>
      <c r="H221" s="12" t="n">
        <v>0.691178582</v>
      </c>
      <c r="I221" s="12"/>
      <c r="J221" s="12"/>
      <c r="K221" s="8" t="n">
        <f aca="false">((B221-B220)/B220)*100</f>
        <v>1.2337791974446</v>
      </c>
      <c r="L221" s="8" t="n">
        <f aca="false">((C221-C220)/C220)*100</f>
        <v>-0.107219873022775</v>
      </c>
      <c r="M221" s="8" t="n">
        <f aca="false">((D221-D220)/D220)*100</f>
        <v>0.294753389663981</v>
      </c>
      <c r="N221" s="8" t="n">
        <f aca="false">((E221-E220)/E220)*100</f>
        <v>-2.34649368079632</v>
      </c>
      <c r="O221" s="8" t="n">
        <f aca="false">((F221-F220)/F220)*100</f>
        <v>0.00322487019897156</v>
      </c>
      <c r="P221" s="8" t="n">
        <f aca="false">((G221-G220)/G220)*100</f>
        <v>-0.689528023598813</v>
      </c>
      <c r="Q221" s="8" t="n">
        <f aca="false">((H221-H220)/H220)*100</f>
        <v>-3.00196006948024</v>
      </c>
      <c r="S221" s="9"/>
      <c r="V221" s="9" t="n">
        <f aca="false">K215-$V$4</f>
        <v>1.51619957151103</v>
      </c>
      <c r="W221" s="9" t="n">
        <f aca="false">L215-$W$4</f>
        <v>4.20023432584698</v>
      </c>
      <c r="X221" s="9" t="n">
        <f aca="false">M215-$X$4</f>
        <v>0.961800809497322</v>
      </c>
      <c r="Y221" s="9" t="n">
        <f aca="false">N215-$Y$4</f>
        <v>0.667724588936201</v>
      </c>
      <c r="Z221" s="9" t="n">
        <f aca="false">O215-$Z$4</f>
        <v>1.10042621890016</v>
      </c>
      <c r="AA221" s="9" t="n">
        <f aca="false">P215-$AA$4</f>
        <v>-0.826716731253185</v>
      </c>
      <c r="AB221" s="9" t="n">
        <f aca="false">Q215-$AB$4</f>
        <v>1.29523411221837</v>
      </c>
    </row>
    <row r="222" customFormat="false" ht="15.75" hidden="false" customHeight="false" outlineLevel="0" collapsed="false">
      <c r="A222" s="7" t="n">
        <v>45614</v>
      </c>
      <c r="B222" s="8" t="n">
        <f aca="false">S20*2</f>
        <v>2521.3</v>
      </c>
      <c r="C222" s="9" t="n">
        <v>4019.5</v>
      </c>
      <c r="D222" s="9" t="n">
        <v>2846.9</v>
      </c>
      <c r="E222" s="8" t="n">
        <v>2213.2</v>
      </c>
      <c r="F222" s="9" t="n">
        <v>1537</v>
      </c>
      <c r="G222" s="11" t="n">
        <v>1337.65</v>
      </c>
      <c r="H222" s="12" t="n">
        <v>1.060223728</v>
      </c>
      <c r="I222" s="12"/>
      <c r="J222" s="12"/>
      <c r="K222" s="8" t="n">
        <f aca="false">((B222-B221)/B221)*100</f>
        <v>-0.556125266230177</v>
      </c>
      <c r="L222" s="8" t="n">
        <f aca="false">((C222-C221)/C221)*100</f>
        <v>-3.04879519525313</v>
      </c>
      <c r="M222" s="8" t="n">
        <f aca="false">((D222-D221)/D221)*100</f>
        <v>1.41422057566259</v>
      </c>
      <c r="N222" s="8" t="n">
        <f aca="false">((E222-E221)/E221)*100</f>
        <v>1.39270661535641</v>
      </c>
      <c r="O222" s="8" t="n">
        <f aca="false">((F222-F221)/F221)*100</f>
        <v>-0.870686875201548</v>
      </c>
      <c r="P222" s="8" t="n">
        <f aca="false">((G222-G221)/G221)*100</f>
        <v>-0.668325103033453</v>
      </c>
      <c r="Q222" s="8" t="n">
        <f aca="false">((H222-H221)/H221)*100</f>
        <v>53.3936026970234</v>
      </c>
      <c r="S222" s="9"/>
      <c r="V222" s="9" t="n">
        <f aca="false">K216-$V$4</f>
        <v>-1.48588721046543</v>
      </c>
      <c r="W222" s="9" t="n">
        <f aca="false">L216-$W$4</f>
        <v>0.234142804738471</v>
      </c>
      <c r="X222" s="9" t="n">
        <f aca="false">M216-$X$4</f>
        <v>-1.72089028866663</v>
      </c>
      <c r="Y222" s="9" t="n">
        <f aca="false">N216-$Y$4</f>
        <v>-0.473795516677645</v>
      </c>
      <c r="Z222" s="9" t="n">
        <f aca="false">O216-$Z$4</f>
        <v>-1.63060076395735</v>
      </c>
      <c r="AA222" s="9" t="n">
        <f aca="false">P216-$AA$4</f>
        <v>0.752141219957949</v>
      </c>
      <c r="AB222" s="9" t="n">
        <f aca="false">Q216-$AB$4</f>
        <v>5.10835589398275</v>
      </c>
    </row>
    <row r="223" customFormat="false" ht="15.75" hidden="false" customHeight="false" outlineLevel="0" collapsed="false">
      <c r="A223" s="7" t="n">
        <v>45615</v>
      </c>
      <c r="B223" s="8" t="n">
        <f aca="false">S21*2</f>
        <v>2482.6</v>
      </c>
      <c r="C223" s="9" t="n">
        <v>4039.55</v>
      </c>
      <c r="D223" s="9" t="n">
        <v>2948.95</v>
      </c>
      <c r="E223" s="8" t="n">
        <v>2214.15</v>
      </c>
      <c r="F223" s="9" t="n">
        <v>1525.5</v>
      </c>
      <c r="G223" s="11" t="n">
        <v>1353.35</v>
      </c>
      <c r="H223" s="12" t="n">
        <v>1.119366094</v>
      </c>
      <c r="I223" s="12"/>
      <c r="J223" s="12"/>
      <c r="K223" s="8" t="n">
        <f aca="false">((B223-B222)/B222)*100</f>
        <v>-1.5349224606354</v>
      </c>
      <c r="L223" s="8" t="n">
        <f aca="false">((C223-C222)/C222)*100</f>
        <v>0.498818260977738</v>
      </c>
      <c r="M223" s="8" t="n">
        <f aca="false">((D223-D222)/D222)*100</f>
        <v>3.58460079384593</v>
      </c>
      <c r="N223" s="8" t="n">
        <f aca="false">((E223-E222)/E222)*100</f>
        <v>0.0429242725465513</v>
      </c>
      <c r="O223" s="8" t="n">
        <f aca="false">((F223-F222)/F222)*100</f>
        <v>-0.748210800260247</v>
      </c>
      <c r="P223" s="8" t="n">
        <f aca="false">((G223-G222)/G222)*100</f>
        <v>1.17370014577803</v>
      </c>
      <c r="Q223" s="8" t="n">
        <f aca="false">((H223-H222)/H222)*100</f>
        <v>5.57829111328851</v>
      </c>
      <c r="S223" s="9"/>
      <c r="V223" s="9" t="n">
        <f aca="false">K217-$V$4</f>
        <v>-1.64280150309038</v>
      </c>
      <c r="W223" s="9" t="n">
        <f aca="false">L217-$W$4</f>
        <v>-0.131574828470411</v>
      </c>
      <c r="X223" s="9" t="n">
        <f aca="false">M217-$X$4</f>
        <v>2.64088001222138</v>
      </c>
      <c r="Y223" s="9" t="n">
        <f aca="false">N217-$Y$4</f>
        <v>1.53599579943369</v>
      </c>
      <c r="Z223" s="9" t="n">
        <f aca="false">O217-$Z$4</f>
        <v>-0.566434826329858</v>
      </c>
      <c r="AA223" s="9" t="n">
        <f aca="false">P217-$AA$4</f>
        <v>1.06317685099357</v>
      </c>
      <c r="AB223" s="9" t="n">
        <f aca="false">Q217-$AB$4</f>
        <v>1.5093877054737</v>
      </c>
    </row>
    <row r="224" customFormat="false" ht="15.75" hidden="false" customHeight="false" outlineLevel="0" collapsed="false">
      <c r="A224" s="7" t="n">
        <v>45617</v>
      </c>
      <c r="B224" s="8" t="n">
        <f aca="false">S22*2</f>
        <v>2446.4</v>
      </c>
      <c r="C224" s="9" t="n">
        <v>4072.85</v>
      </c>
      <c r="D224" s="9" t="n">
        <v>2936.25</v>
      </c>
      <c r="E224" s="8" t="n">
        <v>2211.2</v>
      </c>
      <c r="F224" s="9" t="n">
        <v>1525.15</v>
      </c>
      <c r="G224" s="11" t="n">
        <v>1363.5</v>
      </c>
      <c r="H224" s="12" t="n">
        <v>1.107063129</v>
      </c>
      <c r="I224" s="12"/>
      <c r="J224" s="12"/>
      <c r="K224" s="8" t="n">
        <f aca="false">((B224-B223)/B223)*100</f>
        <v>-1.45814871505679</v>
      </c>
      <c r="L224" s="8" t="n">
        <f aca="false">((C224-C223)/C223)*100</f>
        <v>0.82434924682204</v>
      </c>
      <c r="M224" s="8" t="n">
        <f aca="false">((D224-D223)/D223)*100</f>
        <v>-0.430661760965761</v>
      </c>
      <c r="N224" s="8" t="n">
        <f aca="false">((E224-E223)/E223)*100</f>
        <v>-0.133233972404773</v>
      </c>
      <c r="O224" s="8" t="n">
        <f aca="false">((F224-F223)/F223)*100</f>
        <v>-0.0229432972795745</v>
      </c>
      <c r="P224" s="8" t="n">
        <f aca="false">((G224-G223)/G223)*100</f>
        <v>0.749990763660553</v>
      </c>
      <c r="Q224" s="8" t="n">
        <f aca="false">((H224-H223)/H223)*100</f>
        <v>-1.09910109533836</v>
      </c>
      <c r="S224" s="9"/>
      <c r="V224" s="9" t="n">
        <f aca="false">K218-$V$4</f>
        <v>-0.837427322363976</v>
      </c>
      <c r="W224" s="9" t="n">
        <f aca="false">L218-$W$4</f>
        <v>1.20906504937908</v>
      </c>
      <c r="X224" s="9" t="n">
        <f aca="false">M218-$X$4</f>
        <v>-1.73789929468608</v>
      </c>
      <c r="Y224" s="9" t="n">
        <f aca="false">N218-$Y$4</f>
        <v>-0.636610470867923</v>
      </c>
      <c r="Z224" s="9" t="n">
        <f aca="false">O218-$Z$4</f>
        <v>-0.787601166020163</v>
      </c>
      <c r="AA224" s="9" t="n">
        <f aca="false">P218-$AA$4</f>
        <v>-1.01331660408842</v>
      </c>
      <c r="AB224" s="9" t="n">
        <f aca="false">Q218-$AB$4</f>
        <v>5.64944001898289</v>
      </c>
    </row>
    <row r="225" customFormat="false" ht="15.75" hidden="false" customHeight="false" outlineLevel="0" collapsed="false">
      <c r="A225" s="7" t="n">
        <v>45618</v>
      </c>
      <c r="B225" s="8" t="n">
        <f aca="false">S23*2</f>
        <v>2531.9</v>
      </c>
      <c r="C225" s="9" t="n">
        <v>4244.6</v>
      </c>
      <c r="D225" s="9" t="n">
        <v>3012.95</v>
      </c>
      <c r="E225" s="8" t="n">
        <v>2247.3</v>
      </c>
      <c r="F225" s="9" t="n">
        <v>1569.3</v>
      </c>
      <c r="G225" s="11" t="n">
        <v>1352.35</v>
      </c>
      <c r="H225" s="12" t="n">
        <v>1.232390955</v>
      </c>
      <c r="I225" s="12"/>
      <c r="J225" s="12"/>
      <c r="K225" s="8" t="n">
        <f aca="false">((B225-B224)/B224)*100</f>
        <v>3.49493132766514</v>
      </c>
      <c r="L225" s="8" t="n">
        <f aca="false">((C225-C224)/C224)*100</f>
        <v>4.21694881962264</v>
      </c>
      <c r="M225" s="8" t="n">
        <f aca="false">((D225-D224)/D224)*100</f>
        <v>2.61217539378458</v>
      </c>
      <c r="N225" s="8" t="n">
        <f aca="false">((E225-E224)/E224)*100</f>
        <v>1.63259768451521</v>
      </c>
      <c r="O225" s="8" t="n">
        <f aca="false">((F225-F224)/F224)*100</f>
        <v>2.89479723305903</v>
      </c>
      <c r="P225" s="8" t="n">
        <f aca="false">((G225-G224)/G224)*100</f>
        <v>-0.817748441510824</v>
      </c>
      <c r="Q225" s="8" t="n">
        <f aca="false">((H225-H224)/H224)*100</f>
        <v>11.320747906509</v>
      </c>
      <c r="S225" s="9"/>
      <c r="V225" s="9" t="n">
        <f aca="false">K219-$V$4</f>
        <v>0.0193039914614201</v>
      </c>
      <c r="W225" s="9" t="n">
        <f aca="false">L219-$W$4</f>
        <v>-0.0685812651711016</v>
      </c>
      <c r="X225" s="9" t="n">
        <f aca="false">M219-$X$4</f>
        <v>-1.34240631298981</v>
      </c>
      <c r="Y225" s="9" t="n">
        <f aca="false">N219-$Y$4</f>
        <v>-0.916114462431568</v>
      </c>
      <c r="Z225" s="9" t="n">
        <f aca="false">O219-$Z$4</f>
        <v>-0.50601369160027</v>
      </c>
      <c r="AA225" s="9" t="n">
        <f aca="false">P219-$AA$4</f>
        <v>-0.587732239915504</v>
      </c>
      <c r="AB225" s="9" t="n">
        <f aca="false">Q219-$AB$4</f>
        <v>4.40112623393835</v>
      </c>
    </row>
    <row r="226" customFormat="false" ht="15.75" hidden="false" customHeight="false" outlineLevel="0" collapsed="false">
      <c r="A226" s="7" t="n">
        <v>45621</v>
      </c>
      <c r="B226" s="8" t="n">
        <f aca="false">S24*2</f>
        <v>2575.6</v>
      </c>
      <c r="C226" s="9" t="n">
        <v>4315.1</v>
      </c>
      <c r="D226" s="9" t="n">
        <v>3045.6</v>
      </c>
      <c r="E226" s="8" t="n">
        <v>2256.95</v>
      </c>
      <c r="F226" s="9" t="n">
        <v>1578.75</v>
      </c>
      <c r="G226" s="11" t="n">
        <v>1355</v>
      </c>
      <c r="H226" s="12" t="n">
        <v>1.431679285</v>
      </c>
      <c r="I226" s="12"/>
      <c r="J226" s="12"/>
      <c r="K226" s="8" t="n">
        <f aca="false">((B226-B225)/B225)*100</f>
        <v>1.72597653935779</v>
      </c>
      <c r="L226" s="8" t="n">
        <f aca="false">((C226-C225)/C225)*100</f>
        <v>1.66093389247514</v>
      </c>
      <c r="M226" s="8" t="n">
        <f aca="false">((D226-D225)/D225)*100</f>
        <v>1.08365555352728</v>
      </c>
      <c r="N226" s="8" t="n">
        <f aca="false">((E226-E225)/E225)*100</f>
        <v>0.42940417389755</v>
      </c>
      <c r="O226" s="8" t="n">
        <f aca="false">((F226-F225)/F225)*100</f>
        <v>0.602179315618432</v>
      </c>
      <c r="P226" s="8" t="n">
        <f aca="false">((G226-G225)/G225)*100</f>
        <v>0.195955189115251</v>
      </c>
      <c r="Q226" s="8" t="n">
        <f aca="false">((H226-H225)/H225)*100</f>
        <v>16.1708692514706</v>
      </c>
      <c r="S226" s="9"/>
      <c r="V226" s="9" t="n">
        <f aca="false">K220-$V$4</f>
        <v>-1.62235824746621</v>
      </c>
      <c r="W226" s="9" t="n">
        <f aca="false">L220-$W$4</f>
        <v>-1.15855130628075</v>
      </c>
      <c r="X226" s="9" t="n">
        <f aca="false">M220-$X$4</f>
        <v>-3.68497446883933</v>
      </c>
      <c r="Y226" s="9" t="n">
        <f aca="false">N220-$Y$4</f>
        <v>-0.842056158796604</v>
      </c>
      <c r="Z226" s="9" t="n">
        <f aca="false">O220-$Z$4</f>
        <v>-0.526287249356225</v>
      </c>
      <c r="AA226" s="9" t="n">
        <f aca="false">P220-$AA$4</f>
        <v>-0.759737308713474</v>
      </c>
      <c r="AB226" s="9" t="n">
        <f aca="false">Q220-$AB$4</f>
        <v>14.3655026324137</v>
      </c>
    </row>
    <row r="227" customFormat="false" ht="15.75" hidden="false" customHeight="false" outlineLevel="0" collapsed="false">
      <c r="A227" s="7" t="n">
        <v>45622</v>
      </c>
      <c r="B227" s="8" t="n">
        <f aca="false">S25*2</f>
        <v>2591.1</v>
      </c>
      <c r="C227" s="9" t="n">
        <v>4352.7</v>
      </c>
      <c r="D227" s="9" t="n">
        <v>2985.2</v>
      </c>
      <c r="E227" s="8" t="n">
        <v>2265.25</v>
      </c>
      <c r="F227" s="9" t="n">
        <v>1577.25</v>
      </c>
      <c r="G227" s="11" t="n">
        <v>1361</v>
      </c>
      <c r="H227" s="12" t="n">
        <v>1.413864314</v>
      </c>
      <c r="I227" s="12"/>
      <c r="J227" s="12"/>
      <c r="K227" s="8" t="n">
        <f aca="false">((B227-B226)/B226)*100</f>
        <v>0.601801521975462</v>
      </c>
      <c r="L227" s="8" t="n">
        <f aca="false">((C227-C226)/C226)*100</f>
        <v>0.871358717063323</v>
      </c>
      <c r="M227" s="8" t="n">
        <f aca="false">((D227-D226)/D226)*100</f>
        <v>-1.98318886262149</v>
      </c>
      <c r="N227" s="8" t="n">
        <f aca="false">((E227-E226)/E226)*100</f>
        <v>0.367752940915846</v>
      </c>
      <c r="O227" s="8" t="n">
        <f aca="false">((F227-F226)/F226)*100</f>
        <v>-0.0950118764845606</v>
      </c>
      <c r="P227" s="8" t="n">
        <f aca="false">((G227-G226)/G226)*100</f>
        <v>0.44280442804428</v>
      </c>
      <c r="Q227" s="8" t="n">
        <f aca="false">((H227-H226)/H226)*100</f>
        <v>-1.24434090697903</v>
      </c>
      <c r="S227" s="9"/>
      <c r="V227" s="9" t="n">
        <f aca="false">K221-$V$4</f>
        <v>1.24915561339839</v>
      </c>
      <c r="W227" s="9" t="n">
        <f aca="false">L221-$W$4</f>
        <v>-0.144839173776314</v>
      </c>
      <c r="X227" s="9" t="n">
        <f aca="false">M221-$X$4</f>
        <v>0.0459797798748738</v>
      </c>
      <c r="Y227" s="9" t="n">
        <f aca="false">N221-$Y$4</f>
        <v>-2.25999740629801</v>
      </c>
      <c r="Z227" s="9" t="n">
        <f aca="false">O221-$Z$4</f>
        <v>-0.188796959557726</v>
      </c>
      <c r="AA227" s="9" t="n">
        <f aca="false">P221-$AA$4</f>
        <v>-0.669987536241597</v>
      </c>
      <c r="AB227" s="9" t="n">
        <f aca="false">Q221-$AB$4</f>
        <v>-3.68121778588339</v>
      </c>
    </row>
    <row r="228" customFormat="false" ht="15.75" hidden="false" customHeight="false" outlineLevel="0" collapsed="false">
      <c r="A228" s="7" t="n">
        <v>45623</v>
      </c>
      <c r="B228" s="8" t="n">
        <f aca="false">S26*2</f>
        <v>2585.8</v>
      </c>
      <c r="C228" s="9" t="n">
        <v>4332.55</v>
      </c>
      <c r="D228" s="9" t="n">
        <v>3004.8</v>
      </c>
      <c r="E228" s="8" t="n">
        <v>2273.95</v>
      </c>
      <c r="F228" s="9" t="n">
        <v>1577.65</v>
      </c>
      <c r="G228" s="11" t="n">
        <v>1354</v>
      </c>
      <c r="H228" s="12" t="n">
        <v>1.399545066</v>
      </c>
      <c r="I228" s="12"/>
      <c r="J228" s="12"/>
      <c r="K228" s="8" t="n">
        <f aca="false">((B228-B227)/B227)*100</f>
        <v>-0.204546331673796</v>
      </c>
      <c r="L228" s="8" t="n">
        <f aca="false">((C228-C227)/C227)*100</f>
        <v>-0.462931054288135</v>
      </c>
      <c r="M228" s="8" t="n">
        <f aca="false">((D228-D227)/D227)*100</f>
        <v>0.656572423958206</v>
      </c>
      <c r="N228" s="8" t="n">
        <f aca="false">((E228-E227)/E227)*100</f>
        <v>0.384063569142471</v>
      </c>
      <c r="O228" s="8" t="n">
        <f aca="false">((F228-F227)/F227)*100</f>
        <v>0.0253605959740112</v>
      </c>
      <c r="P228" s="8" t="n">
        <f aca="false">((G228-G227)/G227)*100</f>
        <v>-0.514327700220426</v>
      </c>
      <c r="Q228" s="8" t="n">
        <f aca="false">((H228-H227)/H227)*100</f>
        <v>-1.01277384669885</v>
      </c>
      <c r="S228" s="9"/>
      <c r="V228" s="9" t="n">
        <f aca="false">K222-$V$4</f>
        <v>-0.540748850276393</v>
      </c>
      <c r="W228" s="9" t="n">
        <f aca="false">L222-$W$4</f>
        <v>-3.08641449600667</v>
      </c>
      <c r="X228" s="9" t="n">
        <f aca="false">M222-$X$4</f>
        <v>1.16544696587348</v>
      </c>
      <c r="Y228" s="9" t="n">
        <f aca="false">N222-$Y$4</f>
        <v>1.47920288985472</v>
      </c>
      <c r="Z228" s="9" t="n">
        <f aca="false">O222-$Z$4</f>
        <v>-1.06270870495825</v>
      </c>
      <c r="AA228" s="9" t="n">
        <f aca="false">P222-$AA$4</f>
        <v>-0.648784615676237</v>
      </c>
      <c r="AB228" s="9" t="n">
        <f aca="false">Q222-$AB$4</f>
        <v>52.7143449806202</v>
      </c>
    </row>
    <row r="229" customFormat="false" ht="15.75" hidden="false" customHeight="false" outlineLevel="0" collapsed="false">
      <c r="A229" s="7" t="n">
        <v>45624</v>
      </c>
      <c r="B229" s="8" t="n">
        <f aca="false">S27*2</f>
        <v>2542.7</v>
      </c>
      <c r="C229" s="9" t="n">
        <v>4244.9</v>
      </c>
      <c r="D229" s="9" t="n">
        <v>2898.7</v>
      </c>
      <c r="E229" s="8" t="n">
        <v>2236.25</v>
      </c>
      <c r="F229" s="9" t="n">
        <v>1560.4</v>
      </c>
      <c r="G229" s="11" t="n">
        <v>1361.5</v>
      </c>
      <c r="H229" s="12" t="n">
        <v>1.472373215</v>
      </c>
      <c r="I229" s="12"/>
      <c r="J229" s="12"/>
      <c r="K229" s="8" t="n">
        <f aca="false">((B229-B228)/B228)*100</f>
        <v>-1.66679557583728</v>
      </c>
      <c r="L229" s="8" t="n">
        <f aca="false">((C229-C228)/C228)*100</f>
        <v>-2.02305801433337</v>
      </c>
      <c r="M229" s="8" t="n">
        <f aca="false">((D229-D228)/D228)*100</f>
        <v>-3.53101703940363</v>
      </c>
      <c r="N229" s="8" t="n">
        <f aca="false">((E229-E228)/E228)*100</f>
        <v>-1.65790804547153</v>
      </c>
      <c r="O229" s="8" t="n">
        <f aca="false">((F229-F228)/F228)*100</f>
        <v>-1.09339840902608</v>
      </c>
      <c r="P229" s="8" t="n">
        <f aca="false">((G229-G228)/G228)*100</f>
        <v>0.553914327917282</v>
      </c>
      <c r="Q229" s="8" t="n">
        <f aca="false">((H229-H228)/H228)*100</f>
        <v>5.20370160055996</v>
      </c>
      <c r="S229" s="9"/>
      <c r="V229" s="9" t="n">
        <f aca="false">K223-$V$4</f>
        <v>-1.51954604468161</v>
      </c>
      <c r="W229" s="9" t="n">
        <f aca="false">L223-$W$4</f>
        <v>0.461198960224199</v>
      </c>
      <c r="X229" s="9" t="n">
        <f aca="false">M223-$X$4</f>
        <v>3.33582718405682</v>
      </c>
      <c r="Y229" s="9" t="n">
        <f aca="false">N223-$Y$4</f>
        <v>0.12942054704486</v>
      </c>
      <c r="Z229" s="9" t="n">
        <f aca="false">O223-$Z$4</f>
        <v>-0.940232630016945</v>
      </c>
      <c r="AA229" s="9" t="n">
        <f aca="false">P223-$AA$4</f>
        <v>1.19324063313525</v>
      </c>
      <c r="AB229" s="9" t="n">
        <f aca="false">Q223-$AB$4</f>
        <v>4.89903339688536</v>
      </c>
    </row>
    <row r="230" customFormat="false" ht="15.75" hidden="false" customHeight="false" outlineLevel="0" collapsed="false">
      <c r="A230" s="7" t="n">
        <v>45625</v>
      </c>
      <c r="B230" s="8" t="n">
        <f aca="false">S28*2</f>
        <v>2584.9</v>
      </c>
      <c r="C230" s="9" t="n">
        <v>4270.85</v>
      </c>
      <c r="D230" s="9" t="n">
        <v>2966.1</v>
      </c>
      <c r="E230" s="8" t="n">
        <v>2234.65</v>
      </c>
      <c r="F230" s="9" t="n">
        <v>1627.15</v>
      </c>
      <c r="G230" s="11" t="n">
        <v>1361.65</v>
      </c>
      <c r="H230" s="12" t="n">
        <v>1.532175382</v>
      </c>
      <c r="I230" s="12"/>
      <c r="J230" s="12"/>
      <c r="K230" s="8" t="n">
        <f aca="false">((B230-B229)/B229)*100</f>
        <v>1.65965312463131</v>
      </c>
      <c r="L230" s="8" t="n">
        <f aca="false">((C230-C229)/C229)*100</f>
        <v>0.611321821479911</v>
      </c>
      <c r="M230" s="8" t="n">
        <f aca="false">((D230-D229)/D229)*100</f>
        <v>2.32518025321696</v>
      </c>
      <c r="N230" s="8" t="n">
        <f aca="false">((E230-E229)/E229)*100</f>
        <v>-0.0715483510340932</v>
      </c>
      <c r="O230" s="8" t="n">
        <f aca="false">((F230-F229)/F229)*100</f>
        <v>4.27774929505255</v>
      </c>
      <c r="P230" s="8" t="n">
        <f aca="false">((G230-G229)/G229)*100</f>
        <v>0.0110172603745935</v>
      </c>
      <c r="Q230" s="8" t="n">
        <f aca="false">((H230-H229)/H229)*100</f>
        <v>4.06161742082492</v>
      </c>
      <c r="S230" s="9"/>
      <c r="V230" s="9" t="n">
        <f aca="false">K224-$V$4</f>
        <v>-1.442772299103</v>
      </c>
      <c r="W230" s="9" t="n">
        <f aca="false">L224-$W$4</f>
        <v>0.786729946068501</v>
      </c>
      <c r="X230" s="9" t="n">
        <f aca="false">M224-$X$4</f>
        <v>-0.679435370754869</v>
      </c>
      <c r="Y230" s="9" t="n">
        <f aca="false">N224-$Y$4</f>
        <v>-0.0467376979064638</v>
      </c>
      <c r="Z230" s="9" t="n">
        <f aca="false">O224-$Z$4</f>
        <v>-0.214965127036272</v>
      </c>
      <c r="AA230" s="9" t="n">
        <f aca="false">P224-$AA$4</f>
        <v>0.76953125101777</v>
      </c>
      <c r="AB230" s="9" t="n">
        <f aca="false">Q224-$AB$4</f>
        <v>-1.7783588117415</v>
      </c>
    </row>
    <row r="231" customFormat="false" ht="15.75" hidden="false" customHeight="false" outlineLevel="0" collapsed="false">
      <c r="A231" s="7" t="n">
        <v>45628</v>
      </c>
      <c r="B231" s="8" t="n">
        <f aca="false">S29*2</f>
        <v>2618.1</v>
      </c>
      <c r="C231" s="9" t="n">
        <v>4276.65</v>
      </c>
      <c r="D231" s="9" t="n">
        <v>3016.4</v>
      </c>
      <c r="E231" s="8" t="n">
        <v>2251.85</v>
      </c>
      <c r="F231" s="9" t="n">
        <v>1643.6</v>
      </c>
      <c r="G231" s="11" t="n">
        <v>1356</v>
      </c>
      <c r="H231" s="12" t="n">
        <v>2.286339589</v>
      </c>
      <c r="I231" s="12"/>
      <c r="J231" s="12"/>
      <c r="K231" s="8" t="n">
        <f aca="false">((B231-B230)/B230)*100</f>
        <v>1.28438237455994</v>
      </c>
      <c r="L231" s="8" t="n">
        <f aca="false">((C231-C230)/C230)*100</f>
        <v>0.135804348080576</v>
      </c>
      <c r="M231" s="8" t="n">
        <f aca="false">((D231-D230)/D230)*100</f>
        <v>1.69582954047403</v>
      </c>
      <c r="N231" s="8" t="n">
        <f aca="false">((E231-E230)/E230)*100</f>
        <v>0.769695478039058</v>
      </c>
      <c r="O231" s="8" t="n">
        <f aca="false">((F231-F230)/F230)*100</f>
        <v>1.010970101097</v>
      </c>
      <c r="P231" s="8" t="n">
        <f aca="false">((G231-G230)/G230)*100</f>
        <v>-0.414937759336106</v>
      </c>
      <c r="Q231" s="8" t="n">
        <f aca="false">((H231-H230)/H230)*100</f>
        <v>49.2217937880952</v>
      </c>
      <c r="S231" s="9"/>
      <c r="V231" s="9" t="n">
        <f aca="false">K225-$V$4</f>
        <v>3.51030774361893</v>
      </c>
      <c r="W231" s="9" t="n">
        <f aca="false">L225-$W$4</f>
        <v>4.1793295188691</v>
      </c>
      <c r="X231" s="9" t="n">
        <f aca="false">M225-$X$4</f>
        <v>2.36340178399548</v>
      </c>
      <c r="Y231" s="9" t="n">
        <f aca="false">N225-$Y$4</f>
        <v>1.71909395901352</v>
      </c>
      <c r="Z231" s="9" t="n">
        <f aca="false">O225-$Z$4</f>
        <v>2.70277540330234</v>
      </c>
      <c r="AA231" s="9" t="n">
        <f aca="false">P225-$AA$4</f>
        <v>-0.798207954153608</v>
      </c>
      <c r="AB231" s="9" t="n">
        <f aca="false">Q225-$AB$4</f>
        <v>10.6414901901058</v>
      </c>
    </row>
    <row r="232" customFormat="false" ht="15.75" hidden="false" customHeight="false" outlineLevel="0" collapsed="false">
      <c r="A232" s="7" t="n">
        <v>45629</v>
      </c>
      <c r="B232" s="8" t="n">
        <f aca="false">S30*2</f>
        <v>2646.7</v>
      </c>
      <c r="C232" s="9" t="n">
        <v>4302.75</v>
      </c>
      <c r="D232" s="9" t="n">
        <v>3027.3</v>
      </c>
      <c r="E232" s="8" t="n">
        <v>2261.7</v>
      </c>
      <c r="F232" s="9" t="n">
        <v>1620.55</v>
      </c>
      <c r="G232" s="11" t="n">
        <v>1356.65</v>
      </c>
      <c r="H232" s="12" t="n">
        <v>2.708847475</v>
      </c>
      <c r="I232" s="12"/>
      <c r="J232" s="12"/>
      <c r="K232" s="8" t="n">
        <f aca="false">((B232-B231)/B231)*100</f>
        <v>1.09239524846262</v>
      </c>
      <c r="L232" s="8" t="n">
        <f aca="false">((C232-C231)/C231)*100</f>
        <v>0.610290764967916</v>
      </c>
      <c r="M232" s="8" t="n">
        <f aca="false">((D232-D231)/D231)*100</f>
        <v>0.361357910091503</v>
      </c>
      <c r="N232" s="8" t="n">
        <f aca="false">((E232-E231)/E231)*100</f>
        <v>0.437418122876742</v>
      </c>
      <c r="O232" s="8" t="n">
        <f aca="false">((F232-F231)/F231)*100</f>
        <v>-1.4024093453395</v>
      </c>
      <c r="P232" s="8" t="n">
        <f aca="false">((G232-G231)/G231)*100</f>
        <v>0.0479351032448445</v>
      </c>
      <c r="Q232" s="8" t="n">
        <f aca="false">((H232-H231)/H231)*100</f>
        <v>18.4796645272104</v>
      </c>
      <c r="S232" s="9"/>
      <c r="V232" s="9" t="n">
        <f aca="false">K226-$V$4</f>
        <v>1.74135295531157</v>
      </c>
      <c r="W232" s="9" t="n">
        <f aca="false">L226-$W$4</f>
        <v>1.62331459172161</v>
      </c>
      <c r="X232" s="9" t="n">
        <f aca="false">M226-$X$4</f>
        <v>0.83488194373817</v>
      </c>
      <c r="Y232" s="9" t="n">
        <f aca="false">N226-$Y$4</f>
        <v>0.515900448395859</v>
      </c>
      <c r="Z232" s="9" t="n">
        <f aca="false">O226-$Z$4</f>
        <v>0.410157485861734</v>
      </c>
      <c r="AA232" s="9" t="n">
        <f aca="false">P226-$AA$4</f>
        <v>0.215495676472467</v>
      </c>
      <c r="AB232" s="9" t="n">
        <f aca="false">Q226-$AB$4</f>
        <v>15.4916115350675</v>
      </c>
    </row>
    <row r="233" customFormat="false" ht="15.75" hidden="false" customHeight="false" outlineLevel="0" collapsed="false">
      <c r="A233" s="7" t="n">
        <v>45630</v>
      </c>
      <c r="B233" s="8" t="n">
        <f aca="false">S31*2</f>
        <v>2618</v>
      </c>
      <c r="C233" s="9" t="n">
        <v>4354.4</v>
      </c>
      <c r="D233" s="9" t="n">
        <v>3031.75</v>
      </c>
      <c r="E233" s="8" t="n">
        <v>2257.8</v>
      </c>
      <c r="F233" s="9" t="n">
        <v>1584.1</v>
      </c>
      <c r="G233" s="11" t="n">
        <v>1375.65</v>
      </c>
      <c r="H233" s="12" t="n">
        <v>2.531924097</v>
      </c>
      <c r="I233" s="12"/>
      <c r="J233" s="12"/>
      <c r="K233" s="8" t="n">
        <f aca="false">((B233-B232)/B232)*100</f>
        <v>-1.08436921449351</v>
      </c>
      <c r="L233" s="8" t="n">
        <f aca="false">((C233-C232)/C232)*100</f>
        <v>1.20039509615942</v>
      </c>
      <c r="M233" s="8" t="n">
        <f aca="false">((D233-D232)/D232)*100</f>
        <v>0.146995672711651</v>
      </c>
      <c r="N233" s="8" t="n">
        <f aca="false">((E233-E232)/E232)*100</f>
        <v>-0.172436662687343</v>
      </c>
      <c r="O233" s="8" t="n">
        <f aca="false">((F233-F232)/F232)*100</f>
        <v>-2.24923637036809</v>
      </c>
      <c r="P233" s="8" t="n">
        <f aca="false">((G233-G232)/G232)*100</f>
        <v>1.40050860575683</v>
      </c>
      <c r="Q233" s="8" t="n">
        <f aca="false">((H233-H232)/H232)*100</f>
        <v>-6.53131561052546</v>
      </c>
      <c r="S233" s="9"/>
      <c r="V233" s="9" t="n">
        <f aca="false">K227-$V$4</f>
        <v>0.617177937929247</v>
      </c>
      <c r="W233" s="9" t="n">
        <f aca="false">L227-$W$4</f>
        <v>0.833739416309784</v>
      </c>
      <c r="X233" s="9" t="n">
        <f aca="false">M227-$X$4</f>
        <v>-2.2319624724106</v>
      </c>
      <c r="Y233" s="9" t="n">
        <f aca="false">N227-$Y$4</f>
        <v>0.454249215414155</v>
      </c>
      <c r="Z233" s="9" t="n">
        <f aca="false">O227-$Z$4</f>
        <v>-0.287033706241258</v>
      </c>
      <c r="AA233" s="9" t="n">
        <f aca="false">P227-$AA$4</f>
        <v>0.462344915401497</v>
      </c>
      <c r="AB233" s="9" t="n">
        <f aca="false">Q227-$AB$4</f>
        <v>-1.92359862338218</v>
      </c>
    </row>
    <row r="234" customFormat="false" ht="15.75" hidden="false" customHeight="false" outlineLevel="0" collapsed="false">
      <c r="A234" s="7" t="n">
        <v>45631</v>
      </c>
      <c r="B234" s="8" t="n">
        <f aca="false">S32*2</f>
        <v>2642.4</v>
      </c>
      <c r="C234" s="9" t="n">
        <v>4464.05</v>
      </c>
      <c r="D234" s="9" t="n">
        <v>3071.6</v>
      </c>
      <c r="E234" s="8" t="n">
        <v>2265.5</v>
      </c>
      <c r="F234" s="9" t="n">
        <v>1615.35</v>
      </c>
      <c r="G234" s="11" t="n">
        <v>1368.35</v>
      </c>
      <c r="H234" s="12" t="n">
        <v>2.347633314</v>
      </c>
      <c r="I234" s="12"/>
      <c r="J234" s="12"/>
      <c r="K234" s="8" t="n">
        <f aca="false">((B234-B233)/B233)*100</f>
        <v>0.932009167303288</v>
      </c>
      <c r="L234" s="8" t="n">
        <f aca="false">((C234-C233)/C233)*100</f>
        <v>2.51814256843654</v>
      </c>
      <c r="M234" s="8" t="n">
        <f aca="false">((D234-D233)/D233)*100</f>
        <v>1.31442236332151</v>
      </c>
      <c r="N234" s="8" t="n">
        <f aca="false">((E234-E233)/E233)*100</f>
        <v>0.341039950394181</v>
      </c>
      <c r="O234" s="8" t="n">
        <f aca="false">((F234-F233)/F233)*100</f>
        <v>1.97272899438167</v>
      </c>
      <c r="P234" s="8" t="n">
        <f aca="false">((G234-G233)/G233)*100</f>
        <v>-0.530658234289258</v>
      </c>
      <c r="Q234" s="8" t="n">
        <f aca="false">((H234-H233)/H233)*100</f>
        <v>-7.27868513982551</v>
      </c>
      <c r="S234" s="9"/>
      <c r="V234" s="9" t="n">
        <f aca="false">K228-$V$4</f>
        <v>-0.189169915720011</v>
      </c>
      <c r="W234" s="9" t="n">
        <f aca="false">L228-$W$4</f>
        <v>-0.500550355041674</v>
      </c>
      <c r="X234" s="9" t="n">
        <f aca="false">M228-$X$4</f>
        <v>0.407798814169099</v>
      </c>
      <c r="Y234" s="9" t="n">
        <f aca="false">N228-$Y$4</f>
        <v>0.47055984364078</v>
      </c>
      <c r="Z234" s="9" t="n">
        <f aca="false">O228-$Z$4</f>
        <v>-0.166661233782687</v>
      </c>
      <c r="AA234" s="9" t="n">
        <f aca="false">P228-$AA$4</f>
        <v>-0.49478721286321</v>
      </c>
      <c r="AB234" s="9" t="n">
        <f aca="false">Q228-$AB$4</f>
        <v>-1.692031563102</v>
      </c>
    </row>
    <row r="235" customFormat="false" ht="15.75" hidden="false" customHeight="false" outlineLevel="0" collapsed="false">
      <c r="A235" s="7" t="n">
        <v>45632</v>
      </c>
      <c r="B235" s="8" t="n">
        <f aca="false">S33*2</f>
        <v>2623.6</v>
      </c>
      <c r="C235" s="9" t="n">
        <v>4445.5</v>
      </c>
      <c r="D235" s="9" t="n">
        <v>3073</v>
      </c>
      <c r="E235" s="8" t="n">
        <v>2267.8</v>
      </c>
      <c r="F235" s="9" t="n">
        <v>1597.85</v>
      </c>
      <c r="G235" s="11" t="n">
        <v>1371</v>
      </c>
      <c r="H235" s="12" t="n">
        <v>2.254523485</v>
      </c>
      <c r="I235" s="12"/>
      <c r="J235" s="12"/>
      <c r="K235" s="8" t="n">
        <f aca="false">((B235-B234)/B234)*100</f>
        <v>-0.711474417196495</v>
      </c>
      <c r="L235" s="8" t="n">
        <f aca="false">((C235-C234)/C234)*100</f>
        <v>-0.415541940614469</v>
      </c>
      <c r="M235" s="8" t="n">
        <f aca="false">((D235-D234)/D234)*100</f>
        <v>0.0455788514129474</v>
      </c>
      <c r="N235" s="8" t="n">
        <f aca="false">((E235-E234)/E234)*100</f>
        <v>0.101522842639602</v>
      </c>
      <c r="O235" s="8" t="n">
        <f aca="false">((F235-F234)/F234)*100</f>
        <v>-1.08335654811651</v>
      </c>
      <c r="P235" s="8" t="n">
        <f aca="false">((G235-G234)/G234)*100</f>
        <v>0.193663901779522</v>
      </c>
      <c r="Q235" s="8" t="n">
        <f aca="false">((H235-H234)/H234)*100</f>
        <v>-3.96611465873924</v>
      </c>
      <c r="S235" s="9"/>
      <c r="V235" s="9" t="n">
        <f aca="false">K229-$V$4</f>
        <v>-1.65141915988349</v>
      </c>
      <c r="W235" s="9" t="n">
        <f aca="false">L229-$W$4</f>
        <v>-2.06067731508691</v>
      </c>
      <c r="X235" s="9" t="n">
        <f aca="false">M229-$X$4</f>
        <v>-3.77979064919274</v>
      </c>
      <c r="Y235" s="9" t="n">
        <f aca="false">N229-$Y$4</f>
        <v>-1.57141177097322</v>
      </c>
      <c r="Z235" s="9" t="n">
        <f aca="false">O229-$Z$4</f>
        <v>-1.28542023878278</v>
      </c>
      <c r="AA235" s="9" t="n">
        <f aca="false">P229-$AA$4</f>
        <v>0.573454815274499</v>
      </c>
      <c r="AB235" s="9" t="n">
        <f aca="false">Q229-$AB$4</f>
        <v>4.52444388415682</v>
      </c>
    </row>
    <row r="236" customFormat="false" ht="15.75" hidden="false" customHeight="false" outlineLevel="0" collapsed="false">
      <c r="A236" s="7" t="n">
        <v>45635</v>
      </c>
      <c r="B236" s="8" t="n">
        <f aca="false">S34*2</f>
        <v>2590.3</v>
      </c>
      <c r="C236" s="9" t="n">
        <v>4452.15</v>
      </c>
      <c r="D236" s="9" t="n">
        <v>3051.25</v>
      </c>
      <c r="E236" s="8" t="n">
        <v>2228.85</v>
      </c>
      <c r="F236" s="9" t="n">
        <v>1602.55</v>
      </c>
      <c r="G236" s="11" t="n">
        <v>1371.65</v>
      </c>
      <c r="H236" s="12" t="n">
        <v>2.618142166</v>
      </c>
      <c r="I236" s="12"/>
      <c r="J236" s="12"/>
      <c r="K236" s="8" t="n">
        <f aca="false">((B236-B235)/B235)*100</f>
        <v>-1.26924836103063</v>
      </c>
      <c r="L236" s="8" t="n">
        <f aca="false">((C236-C235)/C235)*100</f>
        <v>0.149589472500273</v>
      </c>
      <c r="M236" s="8" t="n">
        <f aca="false">((D236-D235)/D235)*100</f>
        <v>-0.707777416205662</v>
      </c>
      <c r="N236" s="8" t="n">
        <f aca="false">((E236-E235)/E235)*100</f>
        <v>-1.71752359114562</v>
      </c>
      <c r="O236" s="8" t="n">
        <f aca="false">((F236-F235)/F235)*100</f>
        <v>0.294145257690024</v>
      </c>
      <c r="P236" s="8" t="n">
        <f aca="false">((G236-G235)/G235)*100</f>
        <v>0.0474106491612028</v>
      </c>
      <c r="Q236" s="8" t="n">
        <f aca="false">((H236-H235)/H235)*100</f>
        <v>16.1284051117347</v>
      </c>
      <c r="S236" s="9"/>
      <c r="V236" s="9" t="n">
        <f aca="false">K230-$V$4</f>
        <v>1.67502954058509</v>
      </c>
      <c r="W236" s="9" t="n">
        <f aca="false">L230-$W$4</f>
        <v>0.573702520726371</v>
      </c>
      <c r="X236" s="9" t="n">
        <f aca="false">M230-$X$4</f>
        <v>2.07640664342786</v>
      </c>
      <c r="Y236" s="9" t="n">
        <f aca="false">N230-$Y$4</f>
        <v>0.0149479234642156</v>
      </c>
      <c r="Z236" s="9" t="n">
        <f aca="false">O230-$Z$4</f>
        <v>4.08572746529585</v>
      </c>
      <c r="AA236" s="9" t="n">
        <f aca="false">P230-$AA$4</f>
        <v>0.0305577477318103</v>
      </c>
      <c r="AB236" s="9" t="n">
        <f aca="false">Q230-$AB$4</f>
        <v>3.38235970442177</v>
      </c>
    </row>
    <row r="237" customFormat="false" ht="15.75" hidden="false" customHeight="false" outlineLevel="0" collapsed="false">
      <c r="A237" s="7" t="n">
        <v>45636</v>
      </c>
      <c r="B237" s="8" t="n">
        <f aca="false">S35*2</f>
        <v>2569.9</v>
      </c>
      <c r="C237" s="9" t="n">
        <v>4432.55</v>
      </c>
      <c r="D237" s="9" t="n">
        <v>3066.9</v>
      </c>
      <c r="E237" s="8" t="n">
        <v>2214.45</v>
      </c>
      <c r="F237" s="9" t="n">
        <v>1578.65</v>
      </c>
      <c r="G237" s="11" t="n">
        <v>1363.35</v>
      </c>
      <c r="H237" s="12" t="n">
        <v>2.215847049</v>
      </c>
      <c r="I237" s="12"/>
      <c r="J237" s="12"/>
      <c r="K237" s="8" t="n">
        <f aca="false">((B237-B236)/B236)*100</f>
        <v>-0.787553565224109</v>
      </c>
      <c r="L237" s="8" t="n">
        <f aca="false">((C237-C236)/C236)*100</f>
        <v>-0.440236739552788</v>
      </c>
      <c r="M237" s="8" t="n">
        <f aca="false">((D237-D236)/D236)*100</f>
        <v>0.512904547316677</v>
      </c>
      <c r="N237" s="8" t="n">
        <f aca="false">((E237-E236)/E236)*100</f>
        <v>-0.646073087017973</v>
      </c>
      <c r="O237" s="8" t="n">
        <f aca="false">((F237-F236)/F236)*100</f>
        <v>-1.49137312408348</v>
      </c>
      <c r="P237" s="8" t="n">
        <f aca="false">((G237-G236)/G236)*100</f>
        <v>-0.605110633179031</v>
      </c>
      <c r="Q237" s="8" t="n">
        <f aca="false">((H237-H236)/H236)*100</f>
        <v>-15.3656712085512</v>
      </c>
      <c r="S237" s="9"/>
      <c r="V237" s="9" t="n">
        <f aca="false">K231-$V$4</f>
        <v>1.29975879051372</v>
      </c>
      <c r="W237" s="9" t="n">
        <f aca="false">L231-$W$4</f>
        <v>0.0981850473270364</v>
      </c>
      <c r="X237" s="9" t="n">
        <f aca="false">M231-$X$4</f>
        <v>1.44705593068492</v>
      </c>
      <c r="Y237" s="9" t="n">
        <f aca="false">N231-$Y$4</f>
        <v>0.856191752537367</v>
      </c>
      <c r="Z237" s="9" t="n">
        <f aca="false">O231-$Z$4</f>
        <v>0.818948271340301</v>
      </c>
      <c r="AA237" s="9" t="n">
        <f aca="false">P231-$AA$4</f>
        <v>-0.39539727197889</v>
      </c>
      <c r="AB237" s="9" t="n">
        <f aca="false">Q231-$AB$4</f>
        <v>48.5425360716921</v>
      </c>
    </row>
    <row r="238" customFormat="false" ht="15.75" hidden="false" customHeight="false" outlineLevel="0" collapsed="false">
      <c r="A238" s="7" t="n">
        <v>45637</v>
      </c>
      <c r="B238" s="8" t="n">
        <f aca="false">S36*2</f>
        <v>2556.2</v>
      </c>
      <c r="C238" s="9" t="n">
        <v>4427.45</v>
      </c>
      <c r="D238" s="9" t="n">
        <v>3072.05</v>
      </c>
      <c r="E238" s="8" t="n">
        <v>2241.05</v>
      </c>
      <c r="F238" s="9" t="n">
        <v>1586</v>
      </c>
      <c r="G238" s="11" t="n">
        <v>1356.65</v>
      </c>
      <c r="H238" s="12" t="n">
        <v>2.353484808</v>
      </c>
      <c r="I238" s="12"/>
      <c r="J238" s="12"/>
      <c r="K238" s="8" t="n">
        <f aca="false">((B238-B237)/B237)*100</f>
        <v>-0.533094672944483</v>
      </c>
      <c r="L238" s="8" t="n">
        <f aca="false">((C238-C237)/C237)*100</f>
        <v>-0.115057923768494</v>
      </c>
      <c r="M238" s="8" t="n">
        <f aca="false">((D238-D237)/D237)*100</f>
        <v>0.167922005934334</v>
      </c>
      <c r="N238" s="8" t="n">
        <f aca="false">((E238-E237)/E237)*100</f>
        <v>1.20120120120122</v>
      </c>
      <c r="O238" s="8" t="n">
        <f aca="false">((F238-F237)/F237)*100</f>
        <v>0.465587685680797</v>
      </c>
      <c r="P238" s="8" t="n">
        <f aca="false">((G238-G237)/G237)*100</f>
        <v>-0.491436535005671</v>
      </c>
      <c r="Q238" s="8" t="n">
        <f aca="false">((H238-H237)/H237)*100</f>
        <v>6.21151893413019</v>
      </c>
      <c r="S238" s="9"/>
      <c r="V238" s="9" t="n">
        <f aca="false">K232-$V$4</f>
        <v>1.10777166441641</v>
      </c>
      <c r="W238" s="9" t="n">
        <f aca="false">L232-$W$4</f>
        <v>0.572671464214376</v>
      </c>
      <c r="X238" s="9" t="n">
        <f aca="false">M232-$X$4</f>
        <v>0.112584300302396</v>
      </c>
      <c r="Y238" s="9" t="n">
        <f aca="false">N232-$Y$4</f>
        <v>0.523914397375051</v>
      </c>
      <c r="Z238" s="9" t="n">
        <f aca="false">O232-$Z$4</f>
        <v>-1.59443117509619</v>
      </c>
      <c r="AA238" s="9" t="n">
        <f aca="false">P232-$AA$4</f>
        <v>0.0674755906020612</v>
      </c>
      <c r="AB238" s="9" t="n">
        <f aca="false">Q232-$AB$4</f>
        <v>17.8004068108072</v>
      </c>
    </row>
    <row r="239" customFormat="false" ht="15.75" hidden="false" customHeight="false" outlineLevel="0" collapsed="false">
      <c r="A239" s="7" t="n">
        <v>45638</v>
      </c>
      <c r="B239" s="8" t="n">
        <f aca="false">S37*2</f>
        <v>2527.7</v>
      </c>
      <c r="C239" s="9" t="n">
        <v>4454.95</v>
      </c>
      <c r="D239" s="9" t="n">
        <v>3067.45</v>
      </c>
      <c r="E239" s="8" t="n">
        <v>2224.05</v>
      </c>
      <c r="F239" s="9" t="n">
        <v>1610.55</v>
      </c>
      <c r="G239" s="11" t="n">
        <v>1373.35</v>
      </c>
      <c r="H239" s="12" t="n">
        <v>2.400876428</v>
      </c>
      <c r="I239" s="12"/>
      <c r="J239" s="12"/>
      <c r="K239" s="8" t="n">
        <f aca="false">((B239-B238)/B238)*100</f>
        <v>-1.11493623347156</v>
      </c>
      <c r="L239" s="8" t="n">
        <f aca="false">((C239-C238)/C238)*100</f>
        <v>0.621125026821308</v>
      </c>
      <c r="M239" s="8" t="n">
        <f aca="false">((D239-D238)/D238)*100</f>
        <v>-0.149737146205314</v>
      </c>
      <c r="N239" s="8" t="n">
        <f aca="false">((E239-E238)/E238)*100</f>
        <v>-0.75857299033935</v>
      </c>
      <c r="O239" s="8" t="n">
        <f aca="false">((F239-F238)/F238)*100</f>
        <v>1.54791929382093</v>
      </c>
      <c r="P239" s="8" t="n">
        <f aca="false">((G239-G238)/G238)*100</f>
        <v>1.23097335348099</v>
      </c>
      <c r="Q239" s="8" t="n">
        <f aca="false">((H239-H238)/H238)*100</f>
        <v>2.01367860284909</v>
      </c>
      <c r="S239" s="9"/>
      <c r="V239" s="9" t="n">
        <f aca="false">K233-$V$4</f>
        <v>-1.06899279853973</v>
      </c>
      <c r="W239" s="9" t="n">
        <f aca="false">L233-$W$4</f>
        <v>1.16277579540589</v>
      </c>
      <c r="X239" s="9" t="n">
        <f aca="false">M233-$X$4</f>
        <v>-0.101777937077456</v>
      </c>
      <c r="Y239" s="9" t="n">
        <f aca="false">N233-$Y$4</f>
        <v>-0.0859403881890342</v>
      </c>
      <c r="Z239" s="9" t="n">
        <f aca="false">O233-$Z$4</f>
        <v>-2.44125820012479</v>
      </c>
      <c r="AA239" s="9" t="n">
        <f aca="false">P233-$AA$4</f>
        <v>1.42004909311404</v>
      </c>
      <c r="AB239" s="9" t="n">
        <f aca="false">Q233-$AB$4</f>
        <v>-7.21057332692861</v>
      </c>
    </row>
    <row r="240" customFormat="false" ht="15.75" hidden="false" customHeight="false" outlineLevel="0" collapsed="false">
      <c r="A240" s="7" t="n">
        <v>45639</v>
      </c>
      <c r="B240" s="8" t="n">
        <f aca="false">S38*2</f>
        <v>2546.7</v>
      </c>
      <c r="C240" s="9" t="n">
        <v>4473.9</v>
      </c>
      <c r="D240" s="9" t="n">
        <v>3081.4</v>
      </c>
      <c r="E240" s="8" t="n">
        <v>2253.5</v>
      </c>
      <c r="F240" s="9" t="n">
        <v>1681.75</v>
      </c>
      <c r="G240" s="11" t="n">
        <v>1375.65</v>
      </c>
      <c r="H240" s="12" t="n">
        <v>2.342883103</v>
      </c>
      <c r="I240" s="12"/>
      <c r="J240" s="12"/>
      <c r="K240" s="8" t="n">
        <f aca="false">((B240-B239)/B239)*100</f>
        <v>0.751671480001583</v>
      </c>
      <c r="L240" s="8" t="n">
        <f aca="false">((C240-C239)/C239)*100</f>
        <v>0.425369532766918</v>
      </c>
      <c r="M240" s="8" t="n">
        <f aca="false">((D240-D239)/D239)*100</f>
        <v>0.454775138959079</v>
      </c>
      <c r="N240" s="8" t="n">
        <f aca="false">((E240-E239)/E239)*100</f>
        <v>1.3241608776781</v>
      </c>
      <c r="O240" s="8" t="n">
        <f aca="false">((F240-F239)/F239)*100</f>
        <v>4.42085002017944</v>
      </c>
      <c r="P240" s="8" t="n">
        <f aca="false">((G240-G239)/G239)*100</f>
        <v>0.16747369570759</v>
      </c>
      <c r="Q240" s="8" t="n">
        <f aca="false">((H240-H239)/H239)*100</f>
        <v>-2.41550645104672</v>
      </c>
      <c r="S240" s="9"/>
      <c r="V240" s="9" t="n">
        <f aca="false">K234-$V$4</f>
        <v>0.947385583257073</v>
      </c>
      <c r="W240" s="9" t="n">
        <f aca="false">L234-$W$4</f>
        <v>2.480523267683</v>
      </c>
      <c r="X240" s="9" t="n">
        <f aca="false">M234-$X$4</f>
        <v>1.0656487535324</v>
      </c>
      <c r="Y240" s="9" t="n">
        <f aca="false">N234-$Y$4</f>
        <v>0.42753622489249</v>
      </c>
      <c r="Z240" s="9" t="n">
        <f aca="false">O234-$Z$4</f>
        <v>1.78070716462497</v>
      </c>
      <c r="AA240" s="9" t="n">
        <f aca="false">P234-$AA$4</f>
        <v>-0.511117746932042</v>
      </c>
      <c r="AB240" s="9" t="n">
        <f aca="false">Q234-$AB$4</f>
        <v>-7.95794285622866</v>
      </c>
    </row>
    <row r="241" customFormat="false" ht="15.75" hidden="false" customHeight="false" outlineLevel="0" collapsed="false">
      <c r="A241" s="7" t="n">
        <v>45642</v>
      </c>
      <c r="B241" s="8" t="n">
        <f aca="false">S39*2</f>
        <v>2536.1</v>
      </c>
      <c r="C241" s="9" t="n">
        <v>4415.2</v>
      </c>
      <c r="D241" s="9" t="n">
        <v>3084.85</v>
      </c>
      <c r="E241" s="8" t="n">
        <v>2238.75</v>
      </c>
      <c r="F241" s="9" t="n">
        <v>1662.55</v>
      </c>
      <c r="G241" s="11" t="n">
        <v>1363.35</v>
      </c>
      <c r="H241" s="12" t="n">
        <v>2.45583949</v>
      </c>
      <c r="I241" s="12"/>
      <c r="J241" s="12"/>
      <c r="K241" s="8" t="n">
        <f aca="false">((B241-B240)/B240)*100</f>
        <v>-0.416224918522005</v>
      </c>
      <c r="L241" s="8" t="n">
        <f aca="false">((C241-C240)/C240)*100</f>
        <v>-1.31205435973088</v>
      </c>
      <c r="M241" s="8" t="n">
        <f aca="false">((D241-D240)/D240)*100</f>
        <v>0.111962095151549</v>
      </c>
      <c r="N241" s="8" t="n">
        <f aca="false">((E241-E240)/E240)*100</f>
        <v>-0.654537386287997</v>
      </c>
      <c r="O241" s="8" t="n">
        <f aca="false">((F241-F240)/F240)*100</f>
        <v>-1.14166790545563</v>
      </c>
      <c r="P241" s="8" t="n">
        <f aca="false">((G241-G240)/G240)*100</f>
        <v>-0.894122778322988</v>
      </c>
      <c r="Q241" s="8" t="n">
        <f aca="false">((H241-H240)/H240)*100</f>
        <v>4.82125577905965</v>
      </c>
      <c r="S241" s="9"/>
      <c r="V241" s="9" t="n">
        <f aca="false">K235-$V$4</f>
        <v>-0.696098001242711</v>
      </c>
      <c r="W241" s="9" t="n">
        <f aca="false">L235-$W$4</f>
        <v>-0.453161241368008</v>
      </c>
      <c r="X241" s="9" t="n">
        <f aca="false">M235-$X$4</f>
        <v>-0.20319475837616</v>
      </c>
      <c r="Y241" s="9" t="n">
        <f aca="false">N235-$Y$4</f>
        <v>0.188019117137911</v>
      </c>
      <c r="Z241" s="9" t="n">
        <f aca="false">O235-$Z$4</f>
        <v>-1.27537837787321</v>
      </c>
      <c r="AA241" s="9" t="n">
        <f aca="false">P235-$AA$4</f>
        <v>0.213204389136739</v>
      </c>
      <c r="AB241" s="9" t="n">
        <f aca="false">Q235-$AB$4</f>
        <v>-4.64537237514239</v>
      </c>
    </row>
    <row r="242" customFormat="false" ht="15.75" hidden="false" customHeight="false" outlineLevel="0" collapsed="false">
      <c r="A242" s="7" t="n">
        <v>45643</v>
      </c>
      <c r="B242" s="8" t="n">
        <f aca="false">S40*2</f>
        <v>2490.2</v>
      </c>
      <c r="C242" s="9" t="n">
        <v>4328.5</v>
      </c>
      <c r="D242" s="9" t="n">
        <v>3041.5</v>
      </c>
      <c r="E242" s="8" t="n">
        <v>2202.95</v>
      </c>
      <c r="F242" s="9" t="n">
        <v>1615.3</v>
      </c>
      <c r="G242" s="11" t="n">
        <v>1345</v>
      </c>
      <c r="H242" s="12" t="n">
        <v>2.493633865</v>
      </c>
      <c r="I242" s="12"/>
      <c r="J242" s="12"/>
      <c r="K242" s="8" t="n">
        <f aca="false">((B242-B241)/B241)*100</f>
        <v>-1.80986554157959</v>
      </c>
      <c r="L242" s="8" t="n">
        <f aca="false">((C242-C241)/C241)*100</f>
        <v>-1.96367095488313</v>
      </c>
      <c r="M242" s="8" t="n">
        <f aca="false">((D242-D241)/D241)*100</f>
        <v>-1.4052547125468</v>
      </c>
      <c r="N242" s="8" t="n">
        <f aca="false">((E242-E241)/E241)*100</f>
        <v>-1.59910664433278</v>
      </c>
      <c r="O242" s="8" t="n">
        <f aca="false">((F242-F241)/F241)*100</f>
        <v>-2.84201978887853</v>
      </c>
      <c r="P242" s="8" t="n">
        <f aca="false">((G242-G241)/G241)*100</f>
        <v>-1.34594931602303</v>
      </c>
      <c r="Q242" s="8" t="n">
        <f aca="false">((H242-H241)/H241)*100</f>
        <v>1.53895949445785</v>
      </c>
      <c r="S242" s="9"/>
      <c r="V242" s="9" t="n">
        <f aca="false">K236-$V$4</f>
        <v>-1.25387194507685</v>
      </c>
      <c r="W242" s="9" t="n">
        <f aca="false">L236-$W$4</f>
        <v>0.111970171746734</v>
      </c>
      <c r="X242" s="9" t="n">
        <f aca="false">M236-$X$4</f>
        <v>-0.956551025994769</v>
      </c>
      <c r="Y242" s="9" t="n">
        <f aca="false">N236-$Y$4</f>
        <v>-1.63102731664731</v>
      </c>
      <c r="Z242" s="9" t="n">
        <f aca="false">O236-$Z$4</f>
        <v>0.102123427933326</v>
      </c>
      <c r="AA242" s="9" t="n">
        <f aca="false">P236-$AA$4</f>
        <v>0.0669511365184196</v>
      </c>
      <c r="AB242" s="9" t="n">
        <f aca="false">Q236-$AB$4</f>
        <v>15.4491473953316</v>
      </c>
    </row>
    <row r="243" customFormat="false" ht="15.75" hidden="false" customHeight="false" outlineLevel="0" collapsed="false">
      <c r="A243" s="7" t="n">
        <v>45644</v>
      </c>
      <c r="B243" s="8" t="n">
        <f aca="false">S41*2</f>
        <v>2506.1</v>
      </c>
      <c r="C243" s="9" t="n">
        <v>4347.85</v>
      </c>
      <c r="D243" s="9" t="n">
        <v>3051.2</v>
      </c>
      <c r="E243" s="8" t="n">
        <v>2188.05</v>
      </c>
      <c r="F243" s="9" t="n">
        <v>1601.9</v>
      </c>
      <c r="G243" s="11" t="n">
        <v>1341</v>
      </c>
      <c r="H243" s="12" t="n">
        <v>2.556191251</v>
      </c>
      <c r="I243" s="12"/>
      <c r="J243" s="12"/>
      <c r="K243" s="8" t="n">
        <f aca="false">((B243-B242)/B242)*100</f>
        <v>0.63850293149145</v>
      </c>
      <c r="L243" s="8" t="n">
        <f aca="false">((C243-C242)/C242)*100</f>
        <v>0.447037079819807</v>
      </c>
      <c r="M243" s="8" t="n">
        <f aca="false">((D243-D242)/D242)*100</f>
        <v>0.318921584744364</v>
      </c>
      <c r="N243" s="8" t="n">
        <f aca="false">((E243-E242)/E242)*100</f>
        <v>-0.676365782246517</v>
      </c>
      <c r="O243" s="8" t="n">
        <f aca="false">((F243-F242)/F242)*100</f>
        <v>-0.829567263047104</v>
      </c>
      <c r="P243" s="8" t="n">
        <f aca="false">((G243-G242)/G242)*100</f>
        <v>-0.297397769516729</v>
      </c>
      <c r="Q243" s="8" t="n">
        <f aca="false">((H243-H242)/H242)*100</f>
        <v>2.50868368761105</v>
      </c>
      <c r="S243" s="9"/>
      <c r="V243" s="9" t="n">
        <f aca="false">K237-$V$4</f>
        <v>-0.772177149270324</v>
      </c>
      <c r="W243" s="9" t="n">
        <f aca="false">L237-$W$4</f>
        <v>-0.477856040306328</v>
      </c>
      <c r="X243" s="9" t="n">
        <f aca="false">M237-$X$4</f>
        <v>0.264130937527569</v>
      </c>
      <c r="Y243" s="9" t="n">
        <f aca="false">N237-$Y$4</f>
        <v>-0.559576812519664</v>
      </c>
      <c r="Z243" s="9" t="n">
        <f aca="false">O237-$Z$4</f>
        <v>-1.68339495384018</v>
      </c>
      <c r="AA243" s="9" t="n">
        <f aca="false">P237-$AA$4</f>
        <v>-0.585570145821815</v>
      </c>
      <c r="AB243" s="9" t="n">
        <f aca="false">Q237-$AB$4</f>
        <v>-16.0449289249543</v>
      </c>
    </row>
    <row r="244" customFormat="false" ht="15.75" hidden="false" customHeight="false" outlineLevel="0" collapsed="false">
      <c r="A244" s="7" t="n">
        <v>45645</v>
      </c>
      <c r="B244" s="8" t="n">
        <f aca="false">S42*2</f>
        <v>2461.2</v>
      </c>
      <c r="C244" s="9" t="n">
        <v>4271.9</v>
      </c>
      <c r="D244" s="9" t="n">
        <v>3014.65</v>
      </c>
      <c r="E244" s="8" t="n">
        <v>2160.4</v>
      </c>
      <c r="F244" s="9" t="n">
        <v>1600.3</v>
      </c>
      <c r="G244" s="11" t="n">
        <v>1328.35</v>
      </c>
      <c r="H244" s="12" t="n">
        <v>2.297666881</v>
      </c>
      <c r="I244" s="12"/>
      <c r="J244" s="12"/>
      <c r="K244" s="8" t="n">
        <f aca="false">((B244-B243)/B243)*100</f>
        <v>-1.791628426639</v>
      </c>
      <c r="L244" s="8" t="n">
        <f aca="false">((C244-C243)/C243)*100</f>
        <v>-1.74684039237786</v>
      </c>
      <c r="M244" s="8" t="n">
        <f aca="false">((D244-D243)/D243)*100</f>
        <v>-1.19788935500786</v>
      </c>
      <c r="N244" s="8" t="n">
        <f aca="false">((E244-E243)/E243)*100</f>
        <v>-1.26368227417107</v>
      </c>
      <c r="O244" s="8" t="n">
        <f aca="false">((F244-F243)/F243)*100</f>
        <v>-0.0998813908483761</v>
      </c>
      <c r="P244" s="8" t="n">
        <f aca="false">((G244-G243)/G243)*100</f>
        <v>-0.943325876211789</v>
      </c>
      <c r="Q244" s="8" t="n">
        <f aca="false">((H244-H243)/H243)*100</f>
        <v>-10.1136552243054</v>
      </c>
      <c r="S244" s="9"/>
      <c r="V244" s="9" t="n">
        <f aca="false">K238-$V$4</f>
        <v>-0.517718256990699</v>
      </c>
      <c r="W244" s="9" t="n">
        <f aca="false">L238-$W$4</f>
        <v>-0.152677224522033</v>
      </c>
      <c r="X244" s="9" t="n">
        <f aca="false">M238-$X$4</f>
        <v>-0.0808516038547733</v>
      </c>
      <c r="Y244" s="9" t="n">
        <f aca="false">N238-$Y$4</f>
        <v>1.28769747569953</v>
      </c>
      <c r="Z244" s="9" t="n">
        <f aca="false">O238-$Z$4</f>
        <v>0.2735658559241</v>
      </c>
      <c r="AA244" s="9" t="n">
        <f aca="false">P238-$AA$4</f>
        <v>-0.471896047648455</v>
      </c>
      <c r="AB244" s="9" t="n">
        <f aca="false">Q238-$AB$4</f>
        <v>5.53226121772704</v>
      </c>
    </row>
    <row r="245" customFormat="false" ht="15.75" hidden="false" customHeight="false" outlineLevel="0" collapsed="false">
      <c r="A245" s="7" t="n">
        <v>45646</v>
      </c>
      <c r="B245" s="8" t="n">
        <f aca="false">S43*2</f>
        <v>2412</v>
      </c>
      <c r="C245" s="9" t="n">
        <v>4170.3</v>
      </c>
      <c r="D245" s="9" t="n">
        <v>2906.35</v>
      </c>
      <c r="E245" s="8" t="n">
        <v>2163.5</v>
      </c>
      <c r="F245" s="9" t="n">
        <v>1578.1</v>
      </c>
      <c r="G245" s="11" t="n">
        <v>1316</v>
      </c>
      <c r="H245" s="12" t="n">
        <v>2.255279458</v>
      </c>
      <c r="I245" s="12"/>
      <c r="J245" s="12"/>
      <c r="K245" s="8" t="n">
        <f aca="false">((B245-B244)/B244)*100</f>
        <v>-1.99902486591906</v>
      </c>
      <c r="L245" s="8" t="n">
        <f aca="false">((C245-C244)/C244)*100</f>
        <v>-2.37833282614292</v>
      </c>
      <c r="M245" s="8" t="n">
        <f aca="false">((D245-D244)/D244)*100</f>
        <v>-3.59245683578525</v>
      </c>
      <c r="N245" s="8" t="n">
        <f aca="false">((E245-E244)/E244)*100</f>
        <v>0.143491945935934</v>
      </c>
      <c r="O245" s="8" t="n">
        <f aca="false">((F245-F244)/F244)*100</f>
        <v>-1.38723989252016</v>
      </c>
      <c r="P245" s="8" t="n">
        <f aca="false">((G245-G244)/G244)*100</f>
        <v>-0.929724846614214</v>
      </c>
      <c r="Q245" s="8" t="n">
        <f aca="false">((H245-H244)/H244)*100</f>
        <v>-1.84480280194282</v>
      </c>
      <c r="S245" s="9"/>
      <c r="V245" s="9" t="n">
        <f aca="false">K239-$V$4</f>
        <v>-1.09955981751778</v>
      </c>
      <c r="W245" s="9" t="n">
        <f aca="false">L239-$W$4</f>
        <v>0.583505726067769</v>
      </c>
      <c r="X245" s="9" t="n">
        <f aca="false">M239-$X$4</f>
        <v>-0.398510755994422</v>
      </c>
      <c r="Y245" s="9" t="n">
        <f aca="false">N239-$Y$4</f>
        <v>-0.672076715841041</v>
      </c>
      <c r="Z245" s="9" t="n">
        <f aca="false">O239-$Z$4</f>
        <v>1.35589746406423</v>
      </c>
      <c r="AA245" s="9" t="n">
        <f aca="false">P239-$AA$4</f>
        <v>1.2505138408382</v>
      </c>
      <c r="AB245" s="9" t="n">
        <f aca="false">Q239-$AB$4</f>
        <v>1.33442088644594</v>
      </c>
    </row>
    <row r="246" customFormat="false" ht="15.75" hidden="false" customHeight="false" outlineLevel="0" collapsed="false">
      <c r="A246" s="7" t="n">
        <v>45649</v>
      </c>
      <c r="B246" s="8" t="n">
        <f aca="false">S44*2</f>
        <v>2444.2</v>
      </c>
      <c r="C246" s="9" t="n">
        <v>4158.3</v>
      </c>
      <c r="D246" s="9" t="n">
        <v>2909.3</v>
      </c>
      <c r="E246" s="8" t="n">
        <v>2151.6</v>
      </c>
      <c r="F246" s="9" t="n">
        <v>1586.9</v>
      </c>
      <c r="G246" s="11" t="n">
        <v>1334</v>
      </c>
      <c r="H246" s="12" t="n">
        <v>2.19830609</v>
      </c>
      <c r="I246" s="12"/>
      <c r="J246" s="12"/>
      <c r="K246" s="8" t="n">
        <f aca="false">((B246-B245)/B245)*100</f>
        <v>1.33499170812603</v>
      </c>
      <c r="L246" s="8" t="n">
        <f aca="false">((C246-C245)/C245)*100</f>
        <v>-0.287749082799799</v>
      </c>
      <c r="M246" s="8" t="n">
        <f aca="false">((D246-D245)/D245)*100</f>
        <v>0.101501883806158</v>
      </c>
      <c r="N246" s="8" t="n">
        <f aca="false">((E246-E245)/E245)*100</f>
        <v>-0.550034666050386</v>
      </c>
      <c r="O246" s="8" t="n">
        <f aca="false">((F246-F245)/F245)*100</f>
        <v>0.557632596159951</v>
      </c>
      <c r="P246" s="8" t="n">
        <f aca="false">((G246-G245)/G245)*100</f>
        <v>1.3677811550152</v>
      </c>
      <c r="Q246" s="8" t="n">
        <f aca="false">((H246-H245)/H245)*100</f>
        <v>-2.52622209624187</v>
      </c>
      <c r="S246" s="9"/>
      <c r="V246" s="9" t="n">
        <f aca="false">K240-$V$4</f>
        <v>0.767047895955367</v>
      </c>
      <c r="W246" s="9" t="n">
        <f aca="false">L240-$W$4</f>
        <v>0.387750232013379</v>
      </c>
      <c r="X246" s="9" t="n">
        <f aca="false">M240-$X$4</f>
        <v>0.206001529169972</v>
      </c>
      <c r="Y246" s="9" t="n">
        <f aca="false">N240-$Y$4</f>
        <v>1.41065715217641</v>
      </c>
      <c r="Z246" s="9" t="n">
        <f aca="false">O240-$Z$4</f>
        <v>4.22882819042275</v>
      </c>
      <c r="AA246" s="9" t="n">
        <f aca="false">P240-$AA$4</f>
        <v>0.187014183064806</v>
      </c>
      <c r="AB246" s="9" t="n">
        <f aca="false">Q240-$AB$4</f>
        <v>-3.09476416744987</v>
      </c>
    </row>
    <row r="247" customFormat="false" ht="15.75" hidden="false" customHeight="false" outlineLevel="0" collapsed="false">
      <c r="A247" s="7" t="n">
        <v>45650</v>
      </c>
      <c r="B247" s="8" t="n">
        <f aca="false">S45*2</f>
        <v>2447</v>
      </c>
      <c r="C247" s="9" t="n">
        <v>4179.5</v>
      </c>
      <c r="D247" s="9" t="n">
        <v>2928.7</v>
      </c>
      <c r="E247" s="8" t="n">
        <v>2166.7</v>
      </c>
      <c r="F247" s="9" t="n">
        <v>1583.9</v>
      </c>
      <c r="G247" s="11" t="n">
        <v>1335</v>
      </c>
      <c r="H247" s="12" t="n">
        <v>2.254884049</v>
      </c>
      <c r="I247" s="12"/>
      <c r="J247" s="12"/>
      <c r="K247" s="8" t="n">
        <f aca="false">((B247-B246)/B246)*100</f>
        <v>0.114556910236486</v>
      </c>
      <c r="L247" s="8" t="n">
        <f aca="false">((C247-C246)/C246)*100</f>
        <v>0.509823726041888</v>
      </c>
      <c r="M247" s="8" t="n">
        <f aca="false">((D247-D246)/D246)*100</f>
        <v>0.666827071804202</v>
      </c>
      <c r="N247" s="8" t="n">
        <f aca="false">((E247-E246)/E246)*100</f>
        <v>0.701803309165268</v>
      </c>
      <c r="O247" s="8" t="n">
        <f aca="false">((F247-F246)/F246)*100</f>
        <v>-0.189047829100762</v>
      </c>
      <c r="P247" s="8" t="n">
        <f aca="false">((G247-G246)/G246)*100</f>
        <v>0.0749625187406297</v>
      </c>
      <c r="Q247" s="8" t="n">
        <f aca="false">((H247-H246)/H246)*100</f>
        <v>2.57370705823774</v>
      </c>
      <c r="S247" s="9"/>
      <c r="V247" s="9" t="n">
        <f aca="false">K241-$V$4</f>
        <v>-0.400848502568221</v>
      </c>
      <c r="W247" s="9" t="n">
        <f aca="false">L241-$W$4</f>
        <v>-1.34967366048442</v>
      </c>
      <c r="X247" s="9" t="n">
        <f aca="false">M241-$X$4</f>
        <v>-0.136811514637559</v>
      </c>
      <c r="Y247" s="9" t="n">
        <f aca="false">N241-$Y$4</f>
        <v>-0.568041111789688</v>
      </c>
      <c r="Z247" s="9" t="n">
        <f aca="false">O241-$Z$4</f>
        <v>-1.33368973521233</v>
      </c>
      <c r="AA247" s="9" t="n">
        <f aca="false">P241-$AA$4</f>
        <v>-0.874582290965771</v>
      </c>
      <c r="AB247" s="9" t="n">
        <f aca="false">Q241-$AB$4</f>
        <v>4.14199806265651</v>
      </c>
    </row>
    <row r="248" customFormat="false" ht="15.75" hidden="false" customHeight="false" outlineLevel="0" collapsed="false">
      <c r="A248" s="7" t="n">
        <v>45652</v>
      </c>
      <c r="B248" s="8" t="n">
        <f aca="false">S46*2</f>
        <v>2433.2</v>
      </c>
      <c r="C248" s="9" t="n">
        <v>4169.1</v>
      </c>
      <c r="D248" s="9" t="n">
        <v>2975.65</v>
      </c>
      <c r="E248" s="8" t="n">
        <v>2149.9</v>
      </c>
      <c r="F248" s="9" t="n">
        <v>1599.5</v>
      </c>
      <c r="G248" s="11" t="n">
        <v>1343.35</v>
      </c>
      <c r="H248" s="12" t="n">
        <v>2.29718979</v>
      </c>
      <c r="I248" s="12"/>
      <c r="J248" s="12"/>
      <c r="K248" s="8" t="n">
        <f aca="false">((B248-B247)/B247)*100</f>
        <v>-0.563955864323669</v>
      </c>
      <c r="L248" s="8" t="n">
        <f aca="false">((C248-C247)/C247)*100</f>
        <v>-0.248833592534984</v>
      </c>
      <c r="M248" s="8" t="n">
        <f aca="false">((D248-D247)/D247)*100</f>
        <v>1.60310035169189</v>
      </c>
      <c r="N248" s="8" t="n">
        <f aca="false">((E248-E247)/E247)*100</f>
        <v>-0.77537268657404</v>
      </c>
      <c r="O248" s="8" t="n">
        <f aca="false">((F248-F247)/F247)*100</f>
        <v>0.984910663551986</v>
      </c>
      <c r="P248" s="8" t="n">
        <f aca="false">((G248-G247)/G247)*100</f>
        <v>0.625468164794001</v>
      </c>
      <c r="Q248" s="8" t="n">
        <f aca="false">((H248-H247)/H247)*100</f>
        <v>1.87618254777942</v>
      </c>
      <c r="S248" s="9"/>
      <c r="V248" s="9" t="n">
        <f aca="false">K242-$V$4</f>
        <v>-1.79448912562581</v>
      </c>
      <c r="W248" s="9" t="n">
        <f aca="false">L242-$W$4</f>
        <v>-2.00129025563667</v>
      </c>
      <c r="X248" s="9" t="n">
        <f aca="false">M242-$X$4</f>
        <v>-1.65402832233591</v>
      </c>
      <c r="Y248" s="9" t="n">
        <f aca="false">N242-$Y$4</f>
        <v>-1.51261036983447</v>
      </c>
      <c r="Z248" s="9" t="n">
        <f aca="false">O242-$Z$4</f>
        <v>-3.03404161863523</v>
      </c>
      <c r="AA248" s="9" t="n">
        <f aca="false">P242-$AA$4</f>
        <v>-1.32640882866581</v>
      </c>
      <c r="AB248" s="9" t="n">
        <f aca="false">Q242-$AB$4</f>
        <v>0.859701778054703</v>
      </c>
    </row>
    <row r="249" customFormat="false" ht="15.75" hidden="false" customHeight="false" outlineLevel="0" collapsed="false">
      <c r="A249" s="7" t="n">
        <v>45653</v>
      </c>
      <c r="B249" s="8" t="n">
        <f aca="false">S47*2</f>
        <v>2441.9</v>
      </c>
      <c r="C249" s="9" t="n">
        <v>4164.85</v>
      </c>
      <c r="D249" s="9" t="n">
        <v>3049.45</v>
      </c>
      <c r="E249" s="8" t="n">
        <v>2165.6</v>
      </c>
      <c r="F249" s="9" t="n">
        <v>1599.85</v>
      </c>
      <c r="G249" s="11" t="n">
        <v>1340</v>
      </c>
      <c r="H249" s="12" t="n">
        <v>2.154071423</v>
      </c>
      <c r="I249" s="12"/>
      <c r="J249" s="12"/>
      <c r="K249" s="8" t="n">
        <f aca="false">((B249-B248)/B248)*100</f>
        <v>0.357553838566508</v>
      </c>
      <c r="L249" s="8" t="n">
        <f aca="false">((C249-C248)/C248)*100</f>
        <v>-0.101940466767408</v>
      </c>
      <c r="M249" s="8" t="n">
        <f aca="false">((D249-D248)/D248)*100</f>
        <v>2.48013039167912</v>
      </c>
      <c r="N249" s="8" t="n">
        <f aca="false">((E249-E248)/E248)*100</f>
        <v>0.730266524024365</v>
      </c>
      <c r="O249" s="8" t="n">
        <f aca="false">((F249-F248)/F248)*100</f>
        <v>0.0218818380743926</v>
      </c>
      <c r="P249" s="8" t="n">
        <f aca="false">((G249-G248)/G248)*100</f>
        <v>-0.249376558603485</v>
      </c>
      <c r="Q249" s="8" t="n">
        <f aca="false">((H249-H248)/H248)*100</f>
        <v>-6.23014988239174</v>
      </c>
      <c r="S249" s="9"/>
      <c r="V249" s="9" t="n">
        <f aca="false">K243-$V$4</f>
        <v>0.653879347445235</v>
      </c>
      <c r="W249" s="9" t="n">
        <f aca="false">L243-$W$4</f>
        <v>0.409417779066268</v>
      </c>
      <c r="X249" s="9" t="n">
        <f aca="false">M243-$X$4</f>
        <v>0.0701479749552563</v>
      </c>
      <c r="Y249" s="9" t="n">
        <f aca="false">N243-$Y$4</f>
        <v>-0.589869507748208</v>
      </c>
      <c r="Z249" s="9" t="n">
        <f aca="false">O243-$Z$4</f>
        <v>-1.0215890928038</v>
      </c>
      <c r="AA249" s="9" t="n">
        <f aca="false">P243-$AA$4</f>
        <v>-0.277857282159512</v>
      </c>
      <c r="AB249" s="9" t="n">
        <f aca="false">Q243-$AB$4</f>
        <v>1.8294259712079</v>
      </c>
    </row>
    <row r="250" customFormat="false" ht="15.75" hidden="false" customHeight="false" outlineLevel="0" collapsed="false">
      <c r="A250" s="7" t="n">
        <v>45656</v>
      </c>
      <c r="B250" s="8" t="n">
        <f aca="false">S48*2</f>
        <v>2421.8</v>
      </c>
      <c r="C250" s="9" t="n">
        <v>4158.8</v>
      </c>
      <c r="D250" s="9" t="n">
        <v>3002.9</v>
      </c>
      <c r="E250" s="8" t="n">
        <v>2159.9</v>
      </c>
      <c r="F250" s="9" t="n">
        <v>1586.9</v>
      </c>
      <c r="G250" s="11" t="n">
        <v>1336.65</v>
      </c>
      <c r="H250" s="12" t="n">
        <v>2.095671916</v>
      </c>
      <c r="I250" s="12"/>
      <c r="J250" s="12"/>
      <c r="K250" s="8" t="n">
        <f aca="false">((B250-B249)/B249)*100</f>
        <v>-0.823129530283792</v>
      </c>
      <c r="L250" s="8" t="n">
        <f aca="false">((C250-C249)/C249)*100</f>
        <v>-0.145263334813983</v>
      </c>
      <c r="M250" s="8" t="n">
        <f aca="false">((D250-D249)/D249)*100</f>
        <v>-1.5265047795504</v>
      </c>
      <c r="N250" s="8" t="n">
        <f aca="false">((E250-E249)/E249)*100</f>
        <v>-0.263206501662348</v>
      </c>
      <c r="O250" s="8" t="n">
        <f aca="false">((F250-F249)/F249)*100</f>
        <v>-0.809450886020553</v>
      </c>
      <c r="P250" s="8" t="n">
        <f aca="false">((G250-G249)/G249)*100</f>
        <v>-0.249999999999993</v>
      </c>
      <c r="Q250" s="8" t="n">
        <f aca="false">((H250-H249)/H249)*100</f>
        <v>-2.71112212791283</v>
      </c>
      <c r="S250" s="9"/>
      <c r="V250" s="9" t="n">
        <f aca="false">K244-$V$4</f>
        <v>-1.77625201068522</v>
      </c>
      <c r="W250" s="9" t="n">
        <f aca="false">L244-$W$4</f>
        <v>-1.7844596931314</v>
      </c>
      <c r="X250" s="9" t="n">
        <f aca="false">M244-$X$4</f>
        <v>-1.44666296479696</v>
      </c>
      <c r="Y250" s="9" t="n">
        <f aca="false">N244-$Y$4</f>
        <v>-1.17718599967276</v>
      </c>
      <c r="Z250" s="9" t="n">
        <f aca="false">O244-$Z$4</f>
        <v>-0.291903220605074</v>
      </c>
      <c r="AA250" s="9" t="n">
        <f aca="false">P244-$AA$4</f>
        <v>-0.923785388854572</v>
      </c>
      <c r="AB250" s="9" t="n">
        <f aca="false">Q244-$AB$4</f>
        <v>-10.7929129407086</v>
      </c>
    </row>
    <row r="251" customFormat="false" ht="15.75" hidden="false" customHeight="false" outlineLevel="0" collapsed="false">
      <c r="A251" s="7" t="n">
        <v>45657</v>
      </c>
      <c r="B251" s="8" t="n">
        <f aca="false">S49*2</f>
        <v>2430.9</v>
      </c>
      <c r="C251" s="9" t="n">
        <v>4094.8</v>
      </c>
      <c r="D251" s="9" t="n">
        <v>3007.1</v>
      </c>
      <c r="E251" s="8" t="n">
        <v>2170.05</v>
      </c>
      <c r="F251" s="9" t="n">
        <v>1587.75</v>
      </c>
      <c r="G251" s="11" t="n">
        <v>1341.65</v>
      </c>
      <c r="H251" s="12" t="n">
        <v>2.056730468</v>
      </c>
      <c r="I251" s="12"/>
      <c r="J251" s="12"/>
      <c r="K251" s="8" t="n">
        <f aca="false">((B251-B250)/B250)*100</f>
        <v>0.375753571723508</v>
      </c>
      <c r="L251" s="8" t="n">
        <f aca="false">((C251-C250)/C250)*100</f>
        <v>-1.5389054534962</v>
      </c>
      <c r="M251" s="8" t="n">
        <f aca="false">((D251-D250)/D250)*100</f>
        <v>0.139864797362543</v>
      </c>
      <c r="N251" s="8" t="n">
        <f aca="false">((E251-E250)/E250)*100</f>
        <v>0.469929163387198</v>
      </c>
      <c r="O251" s="8" t="n">
        <f aca="false">((F251-F250)/F250)*100</f>
        <v>0.0535635515785436</v>
      </c>
      <c r="P251" s="8" t="n">
        <f aca="false">((G251-G250)/G250)*100</f>
        <v>0.374069502113493</v>
      </c>
      <c r="Q251" s="8" t="n">
        <f aca="false">((H251-H250)/H250)*100</f>
        <v>-1.85818437049667</v>
      </c>
      <c r="S251" s="9"/>
      <c r="V251" s="9" t="n">
        <f aca="false">K245-$V$4</f>
        <v>-1.98364844996527</v>
      </c>
      <c r="W251" s="9" t="n">
        <f aca="false">L245-$W$4</f>
        <v>-2.41595212689646</v>
      </c>
      <c r="X251" s="9" t="n">
        <f aca="false">M245-$X$4</f>
        <v>-3.84123044557436</v>
      </c>
      <c r="Y251" s="9" t="n">
        <f aca="false">N245-$Y$4</f>
        <v>0.229988220434242</v>
      </c>
      <c r="Z251" s="9" t="n">
        <f aca="false">O245-$Z$4</f>
        <v>-1.57926172227685</v>
      </c>
      <c r="AA251" s="9" t="n">
        <f aca="false">P245-$AA$4</f>
        <v>-0.910184359256997</v>
      </c>
      <c r="AB251" s="9" t="n">
        <f aca="false">Q245-$AB$4</f>
        <v>-2.52406051834596</v>
      </c>
    </row>
    <row r="252" customFormat="false" ht="15.75" hidden="false" customHeight="false" outlineLevel="0" collapsed="false">
      <c r="A252" s="23"/>
      <c r="B252" s="2" t="e">
        <f aca="false">multiply(B209:B251,2)</f>
        <v>#NAME?</v>
      </c>
      <c r="C252" s="24"/>
      <c r="D252" s="24"/>
      <c r="E252" s="25"/>
      <c r="F252" s="24"/>
      <c r="G252" s="2"/>
      <c r="M252" s="2"/>
      <c r="V252" s="9" t="n">
        <f aca="false">K246-$V$4</f>
        <v>1.35036812407981</v>
      </c>
      <c r="W252" s="9" t="n">
        <f aca="false">L246-$W$4</f>
        <v>-0.325368383553338</v>
      </c>
      <c r="X252" s="9" t="n">
        <f aca="false">M246-$X$4</f>
        <v>-0.147271725982949</v>
      </c>
      <c r="Y252" s="9" t="n">
        <f aca="false">N246-$Y$4</f>
        <v>-0.463538391552077</v>
      </c>
      <c r="Z252" s="9" t="n">
        <f aca="false">O246-$Z$4</f>
        <v>0.365610766403253</v>
      </c>
      <c r="AA252" s="9" t="n">
        <f aca="false">P246-$AA$4</f>
        <v>1.38732164237241</v>
      </c>
      <c r="AB252" s="9" t="n">
        <f aca="false">Q246-$AB$4</f>
        <v>-3.20547981264502</v>
      </c>
    </row>
    <row r="253" customFormat="false" ht="15.75" hidden="false" customHeight="false" outlineLevel="0" collapsed="false">
      <c r="A253" s="23"/>
      <c r="E253" s="25"/>
      <c r="G253" s="2"/>
      <c r="M253" s="2"/>
      <c r="V253" s="9" t="n">
        <f aca="false">K247-$V$4</f>
        <v>0.12993332619027</v>
      </c>
      <c r="W253" s="9" t="n">
        <f aca="false">L247-$W$4</f>
        <v>0.472204425288348</v>
      </c>
      <c r="X253" s="9" t="n">
        <f aca="false">M247-$X$4</f>
        <v>0.418053462015094</v>
      </c>
      <c r="Y253" s="9" t="n">
        <f aca="false">N247-$Y$4</f>
        <v>0.788299583663577</v>
      </c>
      <c r="Z253" s="9" t="n">
        <f aca="false">O247-$Z$4</f>
        <v>-0.38106965885746</v>
      </c>
      <c r="AA253" s="9" t="n">
        <f aca="false">P247-$AA$4</f>
        <v>0.0945030060978464</v>
      </c>
      <c r="AB253" s="9" t="n">
        <f aca="false">Q247-$AB$4</f>
        <v>1.8944493418346</v>
      </c>
    </row>
    <row r="254" customFormat="false" ht="15.75" hidden="false" customHeight="false" outlineLevel="0" collapsed="false">
      <c r="A254" s="23"/>
      <c r="E254" s="8"/>
      <c r="G254" s="2"/>
      <c r="M254" s="8"/>
      <c r="V254" s="9" t="n">
        <f aca="false">K248-$V$4</f>
        <v>-0.548579448369885</v>
      </c>
      <c r="W254" s="9" t="n">
        <f aca="false">L248-$W$4</f>
        <v>-0.286452893288523</v>
      </c>
      <c r="X254" s="9" t="n">
        <f aca="false">M248-$X$4</f>
        <v>1.35432674190278</v>
      </c>
      <c r="Y254" s="9" t="n">
        <f aca="false">N248-$Y$4</f>
        <v>-0.688876412075732</v>
      </c>
      <c r="Z254" s="9" t="n">
        <f aca="false">O248-$Z$4</f>
        <v>0.792888833795288</v>
      </c>
      <c r="AA254" s="9" t="n">
        <f aca="false">P248-$AA$4</f>
        <v>0.645008652151217</v>
      </c>
      <c r="AB254" s="9" t="n">
        <f aca="false">Q248-$AB$4</f>
        <v>1.19692483137627</v>
      </c>
    </row>
    <row r="255" customFormat="false" ht="15.75" hidden="false" customHeight="false" outlineLevel="0" collapsed="false">
      <c r="A255" s="23"/>
      <c r="C255" s="26" t="s">
        <v>41</v>
      </c>
      <c r="D255" s="27" t="s">
        <v>42</v>
      </c>
      <c r="E255" s="27" t="s">
        <v>43</v>
      </c>
      <c r="F255" s="27" t="s">
        <v>44</v>
      </c>
      <c r="G255" s="2"/>
      <c r="H255" s="27" t="s">
        <v>45</v>
      </c>
      <c r="I255" s="24"/>
      <c r="J255" s="24"/>
      <c r="M255" s="8"/>
      <c r="V255" s="9" t="n">
        <f aca="false">K249-$V$4</f>
        <v>0.372930254520293</v>
      </c>
      <c r="W255" s="9" t="n">
        <f aca="false">L249-$W$4</f>
        <v>-0.139559767520947</v>
      </c>
      <c r="X255" s="9" t="n">
        <f aca="false">M249-$X$4</f>
        <v>2.23135678189001</v>
      </c>
      <c r="Y255" s="9" t="n">
        <f aca="false">N249-$Y$4</f>
        <v>0.816762798522674</v>
      </c>
      <c r="Z255" s="9" t="n">
        <f aca="false">O249-$Z$4</f>
        <v>-0.170139991682305</v>
      </c>
      <c r="AA255" s="9" t="n">
        <f aca="false">P249-$AA$4</f>
        <v>-0.229836071246268</v>
      </c>
      <c r="AB255" s="9" t="n">
        <f aca="false">Q249-$AB$4</f>
        <v>-6.90940759879489</v>
      </c>
    </row>
    <row r="256" customFormat="false" ht="15.75" hidden="false" customHeight="false" outlineLevel="0" collapsed="false">
      <c r="B256" s="14" t="s">
        <v>17</v>
      </c>
      <c r="C256" s="28" t="e">
        <f aca="false">(#REF!)/#REF!</f>
        <v>#REF!</v>
      </c>
      <c r="F256" s="29" t="n">
        <v>1</v>
      </c>
      <c r="G256" s="2"/>
      <c r="H256" s="29" t="n">
        <v>0.05</v>
      </c>
      <c r="I256" s="12"/>
      <c r="J256" s="12"/>
      <c r="M256" s="8"/>
      <c r="V256" s="9" t="n">
        <f aca="false">K250-$V$4</f>
        <v>-0.807753114330007</v>
      </c>
      <c r="W256" s="9" t="n">
        <f aca="false">L250-$W$4</f>
        <v>-0.182882635567523</v>
      </c>
      <c r="X256" s="9" t="n">
        <f aca="false">M250-$X$4</f>
        <v>-1.77527838933951</v>
      </c>
      <c r="Y256" s="9" t="n">
        <f aca="false">N250-$Y$4</f>
        <v>-0.17671022716404</v>
      </c>
      <c r="Z256" s="9" t="n">
        <f aca="false">O250-$Z$4</f>
        <v>-1.00147271577725</v>
      </c>
      <c r="AA256" s="9" t="n">
        <f aca="false">P250-$AA$4</f>
        <v>-0.230459512642776</v>
      </c>
      <c r="AB256" s="9" t="n">
        <f aca="false">Q250-$AB$4</f>
        <v>-3.39037984431598</v>
      </c>
    </row>
    <row r="257" customFormat="false" ht="15.75" hidden="false" customHeight="false" outlineLevel="0" collapsed="false">
      <c r="B257" s="14" t="s">
        <v>18</v>
      </c>
      <c r="C257" s="28" t="e">
        <f aca="false">(#REF!)/#REF!</f>
        <v>#REF!</v>
      </c>
      <c r="F257" s="30"/>
      <c r="G257" s="2"/>
      <c r="H257" s="24"/>
      <c r="I257" s="24"/>
      <c r="J257" s="24"/>
      <c r="M257" s="8"/>
      <c r="V257" s="9" t="n">
        <f aca="false">K251-$V$4</f>
        <v>0.391129987677292</v>
      </c>
      <c r="W257" s="9" t="n">
        <f aca="false">L251-$W$4</f>
        <v>-1.57652475424974</v>
      </c>
      <c r="X257" s="9" t="n">
        <f aca="false">M251-$X$4</f>
        <v>-0.108908812426564</v>
      </c>
      <c r="Y257" s="9" t="n">
        <f aca="false">N251-$Y$4</f>
        <v>0.556425437885507</v>
      </c>
      <c r="Z257" s="9" t="n">
        <f aca="false">O251-$Z$4</f>
        <v>-0.138458278178154</v>
      </c>
      <c r="AA257" s="9" t="n">
        <f aca="false">P251-$AA$4</f>
        <v>0.393609989470709</v>
      </c>
      <c r="AB257" s="9" t="n">
        <f aca="false">Q251-$AB$4</f>
        <v>-2.53744208689982</v>
      </c>
    </row>
    <row r="258" customFormat="false" ht="15.75" hidden="false" customHeight="false" outlineLevel="0" collapsed="false">
      <c r="B258" s="14" t="s">
        <v>29</v>
      </c>
      <c r="C258" s="28" t="e">
        <f aca="false">(#REF!)/#REF!</f>
        <v>#REF!</v>
      </c>
      <c r="F258" s="30"/>
      <c r="G258" s="2"/>
      <c r="H258" s="24"/>
      <c r="I258" s="24"/>
      <c r="J258" s="24"/>
      <c r="M258" s="8"/>
      <c r="V258" s="9" t="n">
        <f aca="false">K252-$V$4</f>
        <v>0.0153764159537845</v>
      </c>
      <c r="W258" s="9" t="n">
        <f aca="false">L252-$W$4</f>
        <v>-0.0376193007535395</v>
      </c>
      <c r="X258" s="9" t="n">
        <f aca="false">M252-$X$4</f>
        <v>-0.248773609789107</v>
      </c>
      <c r="Y258" s="9" t="n">
        <f aca="false">N252-$Y$4</f>
        <v>0.0864962744983088</v>
      </c>
      <c r="Z258" s="9" t="n">
        <f aca="false">O252-$Z$4</f>
        <v>-0.192021829756698</v>
      </c>
      <c r="AA258" s="9" t="n">
        <f aca="false">P252-$AA$4</f>
        <v>0.0195404873572167</v>
      </c>
      <c r="AB258" s="9" t="n">
        <f aca="false">Q252-$AB$4</f>
        <v>-0.679257716403149</v>
      </c>
    </row>
    <row r="259" customFormat="false" ht="15.75" hidden="false" customHeight="false" outlineLevel="0" collapsed="false">
      <c r="B259" s="14" t="s">
        <v>20</v>
      </c>
      <c r="C259" s="28" t="e">
        <f aca="false">(#REF!)/#REF!</f>
        <v>#REF!</v>
      </c>
      <c r="F259" s="30"/>
      <c r="G259" s="2"/>
      <c r="H259" s="24"/>
      <c r="I259" s="24"/>
      <c r="J259" s="24"/>
      <c r="M259" s="8"/>
      <c r="V259" s="9"/>
      <c r="W259" s="9"/>
      <c r="X259" s="9"/>
      <c r="Y259" s="9"/>
      <c r="Z259" s="9"/>
      <c r="AA259" s="9"/>
      <c r="AB259" s="9"/>
    </row>
    <row r="260" customFormat="false" ht="15.75" hidden="false" customHeight="false" outlineLevel="0" collapsed="false">
      <c r="B260" s="14" t="s">
        <v>21</v>
      </c>
      <c r="C260" s="28" t="e">
        <f aca="false">(#REF!)/#REF!</f>
        <v>#REF!</v>
      </c>
      <c r="F260" s="30"/>
      <c r="G260" s="2"/>
      <c r="H260" s="24"/>
      <c r="I260" s="24"/>
      <c r="J260" s="24"/>
      <c r="M260" s="8"/>
      <c r="V260" s="9"/>
    </row>
    <row r="261" customFormat="false" ht="15.75" hidden="false" customHeight="false" outlineLevel="0" collapsed="false">
      <c r="B261" s="14" t="s">
        <v>6</v>
      </c>
      <c r="C261" s="28" t="e">
        <f aca="false">(#REF!)/#REF!</f>
        <v>#REF!</v>
      </c>
      <c r="F261" s="30"/>
      <c r="G261" s="2"/>
      <c r="H261" s="24"/>
      <c r="I261" s="24"/>
      <c r="J261" s="24"/>
      <c r="M261" s="8"/>
      <c r="V261" s="9"/>
    </row>
    <row r="262" customFormat="false" ht="15.75" hidden="false" customHeight="false" outlineLevel="0" collapsed="false">
      <c r="B262" s="14" t="s">
        <v>22</v>
      </c>
      <c r="C262" s="28" t="e">
        <f aca="false">(#REF!)/#REF!</f>
        <v>#REF!</v>
      </c>
      <c r="F262" s="30"/>
      <c r="G262" s="2"/>
      <c r="H262" s="24"/>
      <c r="I262" s="24"/>
      <c r="J262" s="24"/>
      <c r="M262" s="8"/>
      <c r="V262" s="9"/>
    </row>
    <row r="263" customFormat="false" ht="15.75" hidden="false" customHeight="false" outlineLevel="0" collapsed="false">
      <c r="A263" s="23"/>
      <c r="C263" s="31" t="s">
        <v>46</v>
      </c>
      <c r="D263" s="30"/>
      <c r="E263" s="30"/>
      <c r="F263" s="30"/>
      <c r="G263" s="2"/>
      <c r="H263" s="24"/>
      <c r="I263" s="24"/>
      <c r="J263" s="24"/>
      <c r="M263" s="8"/>
      <c r="V263" s="9"/>
    </row>
    <row r="264" customFormat="false" ht="15.75" hidden="false" customHeight="false" outlineLevel="0" collapsed="false">
      <c r="A264" s="23"/>
      <c r="C264" s="32" t="s">
        <v>41</v>
      </c>
      <c r="D264" s="30" t="s">
        <v>42</v>
      </c>
      <c r="E264" s="30" t="s">
        <v>43</v>
      </c>
      <c r="F264" s="30" t="s">
        <v>44</v>
      </c>
      <c r="G264" s="2"/>
      <c r="H264" s="24"/>
      <c r="I264" s="24"/>
      <c r="J264" s="24"/>
      <c r="M264" s="8"/>
      <c r="V264" s="9"/>
    </row>
    <row r="265" customFormat="false" ht="15.75" hidden="false" customHeight="false" outlineLevel="0" collapsed="false">
      <c r="A265" s="23"/>
      <c r="C265" s="28" t="n">
        <v>0.498</v>
      </c>
      <c r="D265" s="29" t="n">
        <v>0.351</v>
      </c>
      <c r="E265" s="29" t="n">
        <v>0.045</v>
      </c>
      <c r="F265" s="29" t="n">
        <v>1</v>
      </c>
      <c r="G265" s="2"/>
      <c r="H265" s="24"/>
      <c r="I265" s="24"/>
      <c r="J265" s="24"/>
      <c r="M265" s="8"/>
      <c r="V265" s="9"/>
    </row>
    <row r="266" customFormat="false" ht="15.75" hidden="false" customHeight="false" outlineLevel="0" collapsed="false">
      <c r="A266" s="23"/>
      <c r="C266" s="28" t="n">
        <v>0.502</v>
      </c>
      <c r="D266" s="30"/>
      <c r="E266" s="30"/>
      <c r="F266" s="30"/>
      <c r="G266" s="2"/>
      <c r="H266" s="24"/>
      <c r="I266" s="24"/>
      <c r="J266" s="24"/>
      <c r="M266" s="8"/>
      <c r="V266" s="9"/>
    </row>
    <row r="267" customFormat="false" ht="15.75" hidden="false" customHeight="false" outlineLevel="0" collapsed="false">
      <c r="A267" s="23"/>
      <c r="C267" s="28"/>
      <c r="D267" s="30"/>
      <c r="E267" s="30"/>
      <c r="F267" s="30"/>
      <c r="G267" s="2"/>
      <c r="H267" s="24"/>
      <c r="I267" s="24"/>
      <c r="J267" s="24"/>
      <c r="M267" s="8"/>
    </row>
    <row r="268" customFormat="false" ht="15.75" hidden="false" customHeight="false" outlineLevel="0" collapsed="false">
      <c r="A268" s="23"/>
      <c r="C268" s="28"/>
      <c r="D268" s="30"/>
      <c r="E268" s="30"/>
      <c r="F268" s="30"/>
      <c r="G268" s="2"/>
      <c r="H268" s="24"/>
      <c r="I268" s="24"/>
      <c r="J268" s="24"/>
      <c r="M268" s="8"/>
    </row>
    <row r="269" customFormat="false" ht="15.75" hidden="false" customHeight="false" outlineLevel="0" collapsed="false">
      <c r="A269" s="23"/>
      <c r="C269" s="28"/>
      <c r="D269" s="30"/>
      <c r="E269" s="30"/>
      <c r="F269" s="30"/>
      <c r="G269" s="2"/>
      <c r="H269" s="24"/>
      <c r="I269" s="24"/>
      <c r="J269" s="24"/>
      <c r="M269" s="8"/>
    </row>
    <row r="270" customFormat="false" ht="15.75" hidden="false" customHeight="false" outlineLevel="0" collapsed="false">
      <c r="A270" s="23"/>
      <c r="C270" s="28"/>
      <c r="D270" s="30"/>
      <c r="E270" s="30"/>
      <c r="F270" s="30"/>
      <c r="G270" s="2"/>
      <c r="H270" s="24"/>
      <c r="I270" s="24"/>
      <c r="J270" s="24"/>
      <c r="M270" s="8"/>
    </row>
    <row r="271" customFormat="false" ht="15.75" hidden="false" customHeight="false" outlineLevel="0" collapsed="false">
      <c r="A271" s="23"/>
      <c r="C271" s="28"/>
      <c r="D271" s="30"/>
      <c r="E271" s="30"/>
      <c r="F271" s="30"/>
      <c r="G271" s="2"/>
      <c r="H271" s="24"/>
      <c r="I271" s="24"/>
      <c r="J271" s="24"/>
      <c r="M271" s="8"/>
    </row>
    <row r="272" customFormat="false" ht="15.75" hidden="false" customHeight="false" outlineLevel="0" collapsed="false">
      <c r="A272" s="23"/>
      <c r="C272" s="31" t="s">
        <v>47</v>
      </c>
      <c r="D272" s="30"/>
      <c r="E272" s="30"/>
      <c r="F272" s="30"/>
      <c r="G272" s="2"/>
      <c r="H272" s="24"/>
      <c r="I272" s="24"/>
      <c r="J272" s="24"/>
      <c r="M272" s="8"/>
    </row>
    <row r="273" customFormat="false" ht="15.75" hidden="false" customHeight="false" outlineLevel="0" collapsed="false">
      <c r="A273" s="23"/>
      <c r="C273" s="28" t="n">
        <v>0.8361</v>
      </c>
      <c r="D273" s="29" t="n">
        <v>0.5</v>
      </c>
      <c r="E273" s="29" t="n">
        <v>0.0566</v>
      </c>
      <c r="F273" s="29" t="n">
        <v>1</v>
      </c>
      <c r="G273" s="2"/>
      <c r="H273" s="24"/>
      <c r="I273" s="24"/>
      <c r="J273" s="24"/>
      <c r="M273" s="8"/>
    </row>
    <row r="274" customFormat="false" ht="15.75" hidden="false" customHeight="false" outlineLevel="0" collapsed="false">
      <c r="A274" s="23"/>
      <c r="C274" s="33" t="n">
        <v>0.1639</v>
      </c>
      <c r="D274" s="34"/>
      <c r="E274" s="34"/>
      <c r="F274" s="34"/>
      <c r="G274" s="2"/>
      <c r="H274" s="24"/>
      <c r="I274" s="24"/>
      <c r="J274" s="24"/>
      <c r="M274" s="8"/>
    </row>
    <row r="275" customFormat="false" ht="15.75" hidden="false" customHeight="false" outlineLevel="0" collapsed="false">
      <c r="A275" s="23"/>
      <c r="C275" s="33"/>
      <c r="D275" s="34"/>
      <c r="E275" s="34"/>
      <c r="F275" s="34"/>
      <c r="G275" s="2"/>
      <c r="H275" s="24"/>
      <c r="I275" s="24"/>
      <c r="J275" s="24"/>
      <c r="M275" s="8"/>
    </row>
    <row r="276" customFormat="false" ht="15.75" hidden="false" customHeight="false" outlineLevel="0" collapsed="false">
      <c r="A276" s="23"/>
      <c r="C276" s="33"/>
      <c r="D276" s="34"/>
      <c r="E276" s="34"/>
      <c r="F276" s="34"/>
      <c r="G276" s="2"/>
      <c r="H276" s="24"/>
      <c r="I276" s="24"/>
      <c r="J276" s="24"/>
      <c r="M276" s="8"/>
    </row>
    <row r="277" customFormat="false" ht="15.75" hidden="false" customHeight="false" outlineLevel="0" collapsed="false">
      <c r="A277" s="23"/>
      <c r="C277" s="33"/>
      <c r="D277" s="34"/>
      <c r="E277" s="34"/>
      <c r="F277" s="34"/>
      <c r="G277" s="2"/>
      <c r="H277" s="24"/>
      <c r="I277" s="24"/>
      <c r="J277" s="24"/>
      <c r="M277" s="8"/>
    </row>
    <row r="278" customFormat="false" ht="15.75" hidden="false" customHeight="false" outlineLevel="0" collapsed="false">
      <c r="A278" s="23"/>
      <c r="C278" s="33"/>
      <c r="D278" s="34"/>
      <c r="E278" s="34"/>
      <c r="F278" s="34"/>
      <c r="G278" s="2"/>
      <c r="H278" s="24"/>
      <c r="I278" s="24"/>
      <c r="J278" s="24"/>
      <c r="M278" s="8"/>
    </row>
    <row r="279" customFormat="false" ht="15.75" hidden="false" customHeight="false" outlineLevel="0" collapsed="false">
      <c r="A279" s="23"/>
      <c r="C279" s="33"/>
      <c r="D279" s="34"/>
      <c r="E279" s="34"/>
      <c r="F279" s="34"/>
      <c r="G279" s="2"/>
      <c r="H279" s="24"/>
      <c r="I279" s="24"/>
      <c r="J279" s="24"/>
      <c r="M279" s="8"/>
    </row>
    <row r="280" customFormat="false" ht="15.75" hidden="false" customHeight="false" outlineLevel="0" collapsed="false">
      <c r="A280" s="23"/>
      <c r="C280" s="35" t="s">
        <v>48</v>
      </c>
      <c r="D280" s="27"/>
      <c r="E280" s="27"/>
      <c r="F280" s="27"/>
      <c r="G280" s="2"/>
      <c r="H280" s="24"/>
      <c r="I280" s="24"/>
      <c r="J280" s="24"/>
      <c r="M280" s="8"/>
    </row>
    <row r="281" customFormat="false" ht="15.75" hidden="false" customHeight="false" outlineLevel="0" collapsed="false">
      <c r="A281" s="23"/>
      <c r="C281" s="28" t="n">
        <v>1.4048</v>
      </c>
      <c r="D281" s="29" t="n">
        <v>0.75</v>
      </c>
      <c r="E281" s="29" t="n">
        <v>0.1285</v>
      </c>
      <c r="F281" s="29" t="n">
        <v>1</v>
      </c>
      <c r="G281" s="2"/>
      <c r="H281" s="24"/>
      <c r="I281" s="24"/>
      <c r="J281" s="24"/>
      <c r="M281" s="8"/>
    </row>
    <row r="282" customFormat="false" ht="15.75" hidden="false" customHeight="false" outlineLevel="0" collapsed="false">
      <c r="A282" s="23"/>
      <c r="C282" s="33" t="n">
        <v>-0.4048</v>
      </c>
      <c r="D282" s="34"/>
      <c r="E282" s="34"/>
      <c r="F282" s="34"/>
      <c r="G282" s="2"/>
      <c r="H282" s="24"/>
      <c r="I282" s="24"/>
      <c r="J282" s="24"/>
      <c r="M282" s="8"/>
    </row>
    <row r="283" customFormat="false" ht="15.75" hidden="false" customHeight="false" outlineLevel="0" collapsed="false">
      <c r="A283" s="23"/>
      <c r="C283" s="33"/>
      <c r="D283" s="34"/>
      <c r="E283" s="34"/>
      <c r="F283" s="34"/>
      <c r="G283" s="2"/>
      <c r="H283" s="24"/>
      <c r="I283" s="24"/>
      <c r="J283" s="24"/>
      <c r="M283" s="8"/>
    </row>
    <row r="284" customFormat="false" ht="15.75" hidden="false" customHeight="false" outlineLevel="0" collapsed="false">
      <c r="A284" s="23"/>
      <c r="C284" s="33"/>
      <c r="D284" s="34"/>
      <c r="E284" s="34"/>
      <c r="F284" s="34"/>
      <c r="G284" s="2"/>
      <c r="H284" s="24"/>
      <c r="I284" s="24"/>
      <c r="J284" s="24"/>
      <c r="M284" s="8"/>
    </row>
    <row r="285" customFormat="false" ht="15.75" hidden="false" customHeight="false" outlineLevel="0" collapsed="false">
      <c r="A285" s="23"/>
      <c r="C285" s="33"/>
      <c r="D285" s="34"/>
      <c r="E285" s="34"/>
      <c r="F285" s="34"/>
      <c r="G285" s="2"/>
      <c r="H285" s="24"/>
      <c r="I285" s="24"/>
      <c r="J285" s="24"/>
      <c r="M285" s="8"/>
    </row>
    <row r="286" customFormat="false" ht="15.75" hidden="false" customHeight="false" outlineLevel="0" collapsed="false">
      <c r="A286" s="23"/>
      <c r="C286" s="33"/>
      <c r="D286" s="34"/>
      <c r="E286" s="34"/>
      <c r="F286" s="34"/>
      <c r="G286" s="2"/>
      <c r="H286" s="24"/>
      <c r="I286" s="24"/>
      <c r="J286" s="24"/>
      <c r="M286" s="8"/>
    </row>
    <row r="287" customFormat="false" ht="15.75" hidden="false" customHeight="false" outlineLevel="0" collapsed="false">
      <c r="A287" s="23"/>
      <c r="C287" s="33"/>
      <c r="D287" s="34"/>
      <c r="E287" s="34"/>
      <c r="F287" s="34"/>
      <c r="G287" s="2"/>
      <c r="H287" s="24"/>
      <c r="I287" s="24"/>
      <c r="J287" s="24"/>
      <c r="M287" s="8"/>
    </row>
    <row r="288" customFormat="false" ht="15.75" hidden="false" customHeight="false" outlineLevel="0" collapsed="false">
      <c r="A288" s="23"/>
      <c r="C288" s="35" t="s">
        <v>49</v>
      </c>
      <c r="D288" s="36"/>
      <c r="E288" s="36"/>
      <c r="F288" s="36"/>
      <c r="G288" s="2"/>
      <c r="H288" s="36"/>
      <c r="I288" s="37"/>
      <c r="J288" s="37"/>
      <c r="M288" s="8"/>
    </row>
    <row r="289" customFormat="false" ht="15.75" hidden="false" customHeight="false" outlineLevel="0" collapsed="false">
      <c r="A289" s="23"/>
      <c r="C289" s="28" t="n">
        <v>1.1435</v>
      </c>
      <c r="D289" s="29" t="n">
        <v>0.6351</v>
      </c>
      <c r="E289" s="29" t="n">
        <v>0.0873</v>
      </c>
      <c r="F289" s="29" t="n">
        <v>1</v>
      </c>
      <c r="G289" s="2"/>
      <c r="H289" s="29" t="n">
        <v>0.05</v>
      </c>
      <c r="I289" s="12"/>
      <c r="J289" s="12"/>
      <c r="M289" s="8"/>
    </row>
    <row r="290" customFormat="false" ht="15.75" hidden="false" customHeight="false" outlineLevel="0" collapsed="false">
      <c r="A290" s="23"/>
      <c r="C290" s="28" t="n">
        <v>-0.1435</v>
      </c>
      <c r="D290" s="30"/>
      <c r="E290" s="30"/>
      <c r="F290" s="30"/>
      <c r="G290" s="2"/>
      <c r="H290" s="30"/>
      <c r="I290" s="24"/>
      <c r="J290" s="24"/>
      <c r="M290" s="8"/>
    </row>
    <row r="291" customFormat="false" ht="15.75" hidden="false" customHeight="false" outlineLevel="0" collapsed="false">
      <c r="A291" s="23"/>
      <c r="C291" s="31" t="s">
        <v>50</v>
      </c>
      <c r="D291" s="38"/>
      <c r="E291" s="38"/>
      <c r="F291" s="38"/>
      <c r="G291" s="2"/>
      <c r="H291" s="38"/>
      <c r="I291" s="37"/>
      <c r="J291" s="37"/>
      <c r="M291" s="8"/>
    </row>
    <row r="292" customFormat="false" ht="15.75" hidden="false" customHeight="false" outlineLevel="0" collapsed="false">
      <c r="A292" s="23"/>
      <c r="C292" s="28" t="n">
        <v>1</v>
      </c>
      <c r="D292" s="29" t="n">
        <v>0.572</v>
      </c>
      <c r="E292" s="29" t="n">
        <v>0.071</v>
      </c>
      <c r="F292" s="29" t="n">
        <v>1</v>
      </c>
      <c r="G292" s="2"/>
      <c r="H292" s="29" t="n">
        <v>0.05</v>
      </c>
      <c r="I292" s="12"/>
      <c r="J292" s="12"/>
      <c r="M292" s="8"/>
    </row>
    <row r="293" customFormat="false" ht="15.75" hidden="false" customHeight="false" outlineLevel="0" collapsed="false">
      <c r="A293" s="23"/>
      <c r="C293" s="28" t="n">
        <v>0</v>
      </c>
      <c r="D293" s="30"/>
      <c r="E293" s="30"/>
      <c r="F293" s="30"/>
      <c r="G293" s="2"/>
      <c r="H293" s="30"/>
      <c r="I293" s="24"/>
      <c r="J293" s="24"/>
      <c r="M293" s="8"/>
    </row>
    <row r="294" customFormat="false" ht="14.25" hidden="false" customHeight="false" outlineLevel="0" collapsed="false">
      <c r="A294" s="23"/>
      <c r="E294" s="8"/>
      <c r="G294" s="2"/>
      <c r="M294" s="8"/>
    </row>
    <row r="295" customFormat="false" ht="14.25" hidden="false" customHeight="false" outlineLevel="0" collapsed="false">
      <c r="A295" s="23"/>
      <c r="E295" s="8"/>
      <c r="G295" s="2"/>
      <c r="M295" s="8"/>
    </row>
    <row r="296" customFormat="false" ht="14.25" hidden="false" customHeight="false" outlineLevel="0" collapsed="false">
      <c r="A296" s="23"/>
      <c r="E296" s="8"/>
      <c r="G296" s="2"/>
      <c r="M296" s="8"/>
    </row>
    <row r="297" customFormat="false" ht="14.25" hidden="false" customHeight="false" outlineLevel="0" collapsed="false">
      <c r="A297" s="23"/>
      <c r="E297" s="8"/>
      <c r="G297" s="2"/>
      <c r="M297" s="8"/>
    </row>
    <row r="298" customFormat="false" ht="14.25" hidden="false" customHeight="false" outlineLevel="0" collapsed="false">
      <c r="A298" s="23"/>
      <c r="E298" s="8"/>
      <c r="G298" s="2"/>
      <c r="M298" s="8"/>
    </row>
    <row r="299" customFormat="false" ht="14.25" hidden="false" customHeight="false" outlineLevel="0" collapsed="false">
      <c r="A299" s="23"/>
      <c r="E299" s="8"/>
      <c r="G299" s="2"/>
      <c r="M299" s="8"/>
    </row>
    <row r="300" customFormat="false" ht="14.25" hidden="false" customHeight="false" outlineLevel="0" collapsed="false">
      <c r="A300" s="23"/>
      <c r="E300" s="8"/>
      <c r="G300" s="2"/>
      <c r="M300" s="8"/>
    </row>
    <row r="301" customFormat="false" ht="14.25" hidden="false" customHeight="false" outlineLevel="0" collapsed="false">
      <c r="A301" s="23"/>
      <c r="E301" s="8"/>
      <c r="G301" s="2"/>
      <c r="M301" s="8"/>
    </row>
    <row r="302" customFormat="false" ht="14.25" hidden="false" customHeight="false" outlineLevel="0" collapsed="false">
      <c r="A302" s="23"/>
      <c r="E302" s="8"/>
      <c r="G302" s="2"/>
      <c r="M302" s="8"/>
    </row>
    <row r="303" customFormat="false" ht="14.25" hidden="false" customHeight="false" outlineLevel="0" collapsed="false">
      <c r="A303" s="23"/>
      <c r="E303" s="8"/>
      <c r="G303" s="2"/>
      <c r="M303" s="8"/>
    </row>
    <row r="304" customFormat="false" ht="14.25" hidden="false" customHeight="false" outlineLevel="0" collapsed="false">
      <c r="A304" s="23"/>
      <c r="E304" s="8"/>
      <c r="G304" s="2"/>
      <c r="M304" s="8"/>
      <c r="Y304" s="8"/>
    </row>
    <row r="305" customFormat="false" ht="14.25" hidden="false" customHeight="false" outlineLevel="0" collapsed="false">
      <c r="A305" s="23"/>
      <c r="E305" s="8"/>
      <c r="G305" s="2"/>
      <c r="M305" s="8"/>
      <c r="Y305" s="8"/>
    </row>
    <row r="306" customFormat="false" ht="14.25" hidden="false" customHeight="false" outlineLevel="0" collapsed="false">
      <c r="A306" s="23"/>
      <c r="E306" s="8"/>
      <c r="G306" s="2"/>
      <c r="M306" s="8"/>
      <c r="Y306" s="8"/>
    </row>
    <row r="307" customFormat="false" ht="14.25" hidden="false" customHeight="false" outlineLevel="0" collapsed="false">
      <c r="A307" s="23"/>
      <c r="E307" s="8"/>
      <c r="G307" s="2"/>
      <c r="M307" s="8"/>
      <c r="Y307" s="8"/>
    </row>
    <row r="308" customFormat="false" ht="14.25" hidden="false" customHeight="false" outlineLevel="0" collapsed="false">
      <c r="A308" s="23"/>
      <c r="E308" s="8"/>
      <c r="G308" s="2"/>
      <c r="M308" s="8"/>
      <c r="Y308" s="8"/>
    </row>
    <row r="309" customFormat="false" ht="14.25" hidden="false" customHeight="false" outlineLevel="0" collapsed="false">
      <c r="A309" s="23"/>
      <c r="E309" s="8"/>
      <c r="G309" s="2"/>
      <c r="M309" s="8"/>
      <c r="Y309" s="8"/>
    </row>
    <row r="310" customFormat="false" ht="14.25" hidden="false" customHeight="false" outlineLevel="0" collapsed="false">
      <c r="A310" s="23"/>
      <c r="E310" s="8"/>
      <c r="G310" s="2"/>
      <c r="M310" s="8"/>
      <c r="Y310" s="8"/>
    </row>
    <row r="311" customFormat="false" ht="14.25" hidden="false" customHeight="false" outlineLevel="0" collapsed="false">
      <c r="A311" s="23"/>
      <c r="E311" s="8"/>
      <c r="G311" s="2"/>
      <c r="M311" s="8"/>
      <c r="Y311" s="8"/>
    </row>
    <row r="312" customFormat="false" ht="14.25" hidden="false" customHeight="false" outlineLevel="0" collapsed="false">
      <c r="A312" s="23"/>
      <c r="E312" s="8"/>
      <c r="G312" s="2"/>
      <c r="M312" s="8"/>
      <c r="Y312" s="8"/>
    </row>
    <row r="313" customFormat="false" ht="14.25" hidden="false" customHeight="false" outlineLevel="0" collapsed="false">
      <c r="A313" s="23"/>
      <c r="E313" s="8"/>
      <c r="G313" s="2"/>
      <c r="M313" s="8"/>
      <c r="Y313" s="8"/>
    </row>
    <row r="314" customFormat="false" ht="14.25" hidden="false" customHeight="false" outlineLevel="0" collapsed="false">
      <c r="A314" s="23"/>
      <c r="E314" s="8"/>
      <c r="G314" s="2"/>
      <c r="M314" s="8"/>
      <c r="Y314" s="8"/>
    </row>
    <row r="315" customFormat="false" ht="14.25" hidden="false" customHeight="false" outlineLevel="0" collapsed="false">
      <c r="A315" s="23"/>
      <c r="E315" s="8"/>
      <c r="G315" s="2"/>
      <c r="M315" s="8"/>
      <c r="Y315" s="8"/>
    </row>
    <row r="316" customFormat="false" ht="14.25" hidden="false" customHeight="false" outlineLevel="0" collapsed="false">
      <c r="A316" s="23"/>
      <c r="E316" s="8"/>
      <c r="G316" s="2"/>
      <c r="M316" s="8"/>
      <c r="Y316" s="8"/>
    </row>
    <row r="317" customFormat="false" ht="14.25" hidden="false" customHeight="false" outlineLevel="0" collapsed="false">
      <c r="A317" s="23"/>
      <c r="E317" s="8"/>
      <c r="G317" s="2"/>
      <c r="M317" s="8"/>
      <c r="Y317" s="8"/>
    </row>
    <row r="318" customFormat="false" ht="14.25" hidden="false" customHeight="false" outlineLevel="0" collapsed="false">
      <c r="A318" s="23"/>
      <c r="E318" s="8"/>
      <c r="G318" s="2"/>
      <c r="M318" s="8"/>
      <c r="Y318" s="8"/>
    </row>
    <row r="319" customFormat="false" ht="14.25" hidden="false" customHeight="false" outlineLevel="0" collapsed="false">
      <c r="A319" s="23"/>
      <c r="E319" s="8"/>
      <c r="G319" s="2"/>
      <c r="M319" s="8"/>
      <c r="Y319" s="8"/>
    </row>
    <row r="320" customFormat="false" ht="14.25" hidden="false" customHeight="false" outlineLevel="0" collapsed="false">
      <c r="A320" s="23"/>
      <c r="E320" s="8"/>
      <c r="G320" s="2"/>
      <c r="M320" s="8"/>
      <c r="Y320" s="8"/>
    </row>
    <row r="321" customFormat="false" ht="14.25" hidden="false" customHeight="false" outlineLevel="0" collapsed="false">
      <c r="A321" s="23"/>
      <c r="E321" s="8"/>
      <c r="G321" s="2"/>
      <c r="M321" s="8"/>
      <c r="Y321" s="8"/>
    </row>
    <row r="322" customFormat="false" ht="14.25" hidden="false" customHeight="false" outlineLevel="0" collapsed="false">
      <c r="A322" s="23"/>
      <c r="E322" s="8"/>
      <c r="G322" s="2"/>
      <c r="M322" s="8"/>
      <c r="Y322" s="8"/>
    </row>
    <row r="323" customFormat="false" ht="14.25" hidden="false" customHeight="false" outlineLevel="0" collapsed="false">
      <c r="A323" s="23"/>
      <c r="E323" s="8"/>
      <c r="G323" s="2"/>
      <c r="M323" s="8"/>
      <c r="Y323" s="8"/>
    </row>
    <row r="324" customFormat="false" ht="14.25" hidden="false" customHeight="false" outlineLevel="0" collapsed="false">
      <c r="A324" s="23"/>
      <c r="E324" s="8"/>
      <c r="G324" s="2"/>
      <c r="M324" s="8"/>
      <c r="Y324" s="8"/>
    </row>
    <row r="325" customFormat="false" ht="14.25" hidden="false" customHeight="false" outlineLevel="0" collapsed="false">
      <c r="A325" s="23"/>
      <c r="E325" s="8"/>
      <c r="G325" s="2"/>
      <c r="M325" s="8"/>
      <c r="Y325" s="8"/>
    </row>
    <row r="326" customFormat="false" ht="14.25" hidden="false" customHeight="false" outlineLevel="0" collapsed="false">
      <c r="A326" s="23"/>
      <c r="E326" s="8"/>
      <c r="G326" s="2"/>
      <c r="M326" s="8"/>
      <c r="Y326" s="8"/>
    </row>
    <row r="327" customFormat="false" ht="14.25" hidden="false" customHeight="false" outlineLevel="0" collapsed="false">
      <c r="A327" s="23"/>
      <c r="E327" s="8"/>
      <c r="G327" s="2"/>
      <c r="M327" s="8"/>
      <c r="Y327" s="8"/>
    </row>
    <row r="328" customFormat="false" ht="14.25" hidden="false" customHeight="false" outlineLevel="0" collapsed="false">
      <c r="A328" s="23"/>
      <c r="E328" s="8"/>
      <c r="G328" s="2"/>
      <c r="M328" s="8"/>
      <c r="Y328" s="8"/>
    </row>
    <row r="329" customFormat="false" ht="14.25" hidden="false" customHeight="false" outlineLevel="0" collapsed="false">
      <c r="A329" s="23"/>
      <c r="E329" s="8"/>
      <c r="G329" s="2"/>
      <c r="M329" s="8"/>
      <c r="Y329" s="8"/>
    </row>
    <row r="330" customFormat="false" ht="14.25" hidden="false" customHeight="false" outlineLevel="0" collapsed="false">
      <c r="A330" s="23"/>
      <c r="E330" s="8"/>
      <c r="G330" s="2"/>
      <c r="M330" s="8"/>
      <c r="Y330" s="8"/>
    </row>
    <row r="331" customFormat="false" ht="14.25" hidden="false" customHeight="false" outlineLevel="0" collapsed="false">
      <c r="A331" s="23"/>
      <c r="E331" s="8"/>
      <c r="G331" s="2"/>
      <c r="M331" s="8"/>
      <c r="Y331" s="8"/>
    </row>
    <row r="332" customFormat="false" ht="14.25" hidden="false" customHeight="false" outlineLevel="0" collapsed="false">
      <c r="A332" s="23"/>
      <c r="E332" s="8"/>
      <c r="G332" s="2"/>
      <c r="M332" s="8"/>
      <c r="Y332" s="8"/>
    </row>
    <row r="333" customFormat="false" ht="14.25" hidden="false" customHeight="false" outlineLevel="0" collapsed="false">
      <c r="A333" s="23"/>
      <c r="E333" s="8"/>
      <c r="G333" s="2"/>
      <c r="M333" s="8"/>
      <c r="Y333" s="8"/>
    </row>
    <row r="334" customFormat="false" ht="14.25" hidden="false" customHeight="false" outlineLevel="0" collapsed="false">
      <c r="A334" s="23"/>
      <c r="E334" s="8"/>
      <c r="G334" s="2"/>
      <c r="M334" s="8"/>
      <c r="Y334" s="8"/>
    </row>
    <row r="335" customFormat="false" ht="14.25" hidden="false" customHeight="false" outlineLevel="0" collapsed="false">
      <c r="A335" s="23"/>
      <c r="E335" s="8"/>
      <c r="G335" s="2"/>
      <c r="M335" s="8"/>
      <c r="Y335" s="8"/>
    </row>
    <row r="336" customFormat="false" ht="14.25" hidden="false" customHeight="false" outlineLevel="0" collapsed="false">
      <c r="A336" s="23"/>
      <c r="E336" s="8"/>
      <c r="G336" s="2"/>
      <c r="M336" s="8"/>
      <c r="Y336" s="8"/>
    </row>
    <row r="337" customFormat="false" ht="14.25" hidden="false" customHeight="false" outlineLevel="0" collapsed="false">
      <c r="A337" s="23"/>
      <c r="E337" s="8"/>
      <c r="G337" s="2"/>
      <c r="M337" s="8"/>
      <c r="Y337" s="8"/>
    </row>
    <row r="338" customFormat="false" ht="14.25" hidden="false" customHeight="false" outlineLevel="0" collapsed="false">
      <c r="A338" s="23"/>
      <c r="E338" s="8"/>
      <c r="G338" s="2"/>
      <c r="M338" s="8"/>
      <c r="Y338" s="8"/>
    </row>
    <row r="339" customFormat="false" ht="14.25" hidden="false" customHeight="false" outlineLevel="0" collapsed="false">
      <c r="A339" s="23"/>
      <c r="E339" s="8"/>
      <c r="G339" s="2"/>
      <c r="M339" s="8"/>
      <c r="Y339" s="8"/>
    </row>
    <row r="340" customFormat="false" ht="14.25" hidden="false" customHeight="false" outlineLevel="0" collapsed="false">
      <c r="A340" s="23"/>
      <c r="E340" s="8"/>
      <c r="G340" s="2"/>
      <c r="M340" s="8"/>
      <c r="Y340" s="8"/>
    </row>
    <row r="341" customFormat="false" ht="14.25" hidden="false" customHeight="false" outlineLevel="0" collapsed="false">
      <c r="A341" s="23"/>
      <c r="E341" s="8"/>
      <c r="G341" s="2"/>
      <c r="M341" s="8"/>
      <c r="Y341" s="8"/>
    </row>
    <row r="342" customFormat="false" ht="14.25" hidden="false" customHeight="false" outlineLevel="0" collapsed="false">
      <c r="A342" s="23"/>
      <c r="E342" s="8"/>
      <c r="G342" s="2"/>
      <c r="M342" s="8"/>
      <c r="Y342" s="8"/>
    </row>
    <row r="343" customFormat="false" ht="14.25" hidden="false" customHeight="false" outlineLevel="0" collapsed="false">
      <c r="A343" s="23"/>
      <c r="E343" s="8"/>
      <c r="G343" s="2"/>
      <c r="M343" s="8"/>
      <c r="Y343" s="8"/>
    </row>
    <row r="344" customFormat="false" ht="14.25" hidden="false" customHeight="false" outlineLevel="0" collapsed="false">
      <c r="A344" s="23"/>
      <c r="E344" s="8"/>
      <c r="G344" s="2"/>
      <c r="M344" s="8"/>
      <c r="Y344" s="8"/>
    </row>
    <row r="345" customFormat="false" ht="14.25" hidden="false" customHeight="false" outlineLevel="0" collapsed="false">
      <c r="A345" s="23"/>
      <c r="E345" s="8"/>
      <c r="G345" s="2"/>
      <c r="M345" s="8"/>
      <c r="Y345" s="8"/>
    </row>
    <row r="346" customFormat="false" ht="14.25" hidden="false" customHeight="false" outlineLevel="0" collapsed="false">
      <c r="A346" s="23"/>
      <c r="E346" s="8"/>
      <c r="G346" s="2"/>
      <c r="M346" s="8"/>
      <c r="Y346" s="8"/>
    </row>
    <row r="347" customFormat="false" ht="14.25" hidden="false" customHeight="false" outlineLevel="0" collapsed="false">
      <c r="A347" s="23"/>
      <c r="E347" s="8"/>
      <c r="G347" s="2"/>
      <c r="M347" s="8"/>
      <c r="Y347" s="8"/>
    </row>
    <row r="348" customFormat="false" ht="14.25" hidden="false" customHeight="false" outlineLevel="0" collapsed="false">
      <c r="A348" s="23"/>
      <c r="E348" s="8"/>
      <c r="G348" s="2"/>
      <c r="M348" s="8"/>
      <c r="Y348" s="8"/>
    </row>
    <row r="349" customFormat="false" ht="14.25" hidden="false" customHeight="false" outlineLevel="0" collapsed="false">
      <c r="A349" s="23"/>
      <c r="E349" s="8"/>
      <c r="G349" s="2"/>
      <c r="M349" s="8"/>
      <c r="Y349" s="8"/>
    </row>
    <row r="350" customFormat="false" ht="14.25" hidden="false" customHeight="false" outlineLevel="0" collapsed="false">
      <c r="A350" s="23"/>
      <c r="E350" s="8"/>
      <c r="G350" s="2"/>
      <c r="M350" s="8"/>
      <c r="Y350" s="8"/>
    </row>
    <row r="351" customFormat="false" ht="14.25" hidden="false" customHeight="false" outlineLevel="0" collapsed="false">
      <c r="A351" s="23"/>
      <c r="E351" s="8"/>
      <c r="G351" s="2"/>
      <c r="M351" s="8"/>
      <c r="Y351" s="8"/>
    </row>
    <row r="352" customFormat="false" ht="14.25" hidden="false" customHeight="false" outlineLevel="0" collapsed="false">
      <c r="A352" s="23"/>
      <c r="E352" s="8"/>
      <c r="G352" s="2"/>
      <c r="M352" s="8"/>
      <c r="Y352" s="8"/>
    </row>
    <row r="353" customFormat="false" ht="14.25" hidden="false" customHeight="false" outlineLevel="0" collapsed="false">
      <c r="A353" s="23"/>
      <c r="E353" s="8"/>
      <c r="G353" s="2"/>
      <c r="M353" s="8"/>
      <c r="Y353" s="8"/>
    </row>
    <row r="354" customFormat="false" ht="14.25" hidden="false" customHeight="false" outlineLevel="0" collapsed="false">
      <c r="A354" s="23"/>
      <c r="E354" s="8"/>
      <c r="G354" s="2"/>
      <c r="M354" s="8"/>
      <c r="Y354" s="8"/>
    </row>
    <row r="355" customFormat="false" ht="14.25" hidden="false" customHeight="false" outlineLevel="0" collapsed="false">
      <c r="A355" s="23"/>
      <c r="E355" s="8"/>
      <c r="G355" s="2"/>
      <c r="M355" s="8"/>
      <c r="Y355" s="8"/>
    </row>
    <row r="356" customFormat="false" ht="14.25" hidden="false" customHeight="false" outlineLevel="0" collapsed="false">
      <c r="A356" s="23"/>
      <c r="E356" s="8"/>
      <c r="G356" s="2"/>
      <c r="M356" s="8"/>
      <c r="Y356" s="8"/>
    </row>
    <row r="357" customFormat="false" ht="14.25" hidden="false" customHeight="false" outlineLevel="0" collapsed="false">
      <c r="A357" s="23"/>
      <c r="E357" s="8"/>
      <c r="G357" s="2"/>
      <c r="M357" s="8"/>
      <c r="Y357" s="8"/>
    </row>
    <row r="358" customFormat="false" ht="14.25" hidden="false" customHeight="false" outlineLevel="0" collapsed="false">
      <c r="A358" s="23"/>
      <c r="E358" s="8"/>
      <c r="G358" s="2"/>
      <c r="M358" s="8"/>
      <c r="Y358" s="8"/>
    </row>
    <row r="359" customFormat="false" ht="14.25" hidden="false" customHeight="false" outlineLevel="0" collapsed="false">
      <c r="A359" s="23"/>
      <c r="E359" s="8"/>
      <c r="G359" s="2"/>
      <c r="M359" s="8"/>
      <c r="Y359" s="8"/>
    </row>
    <row r="360" customFormat="false" ht="14.25" hidden="false" customHeight="false" outlineLevel="0" collapsed="false">
      <c r="A360" s="23"/>
      <c r="E360" s="8"/>
      <c r="G360" s="2"/>
      <c r="M360" s="8"/>
      <c r="Y360" s="8"/>
    </row>
    <row r="361" customFormat="false" ht="14.25" hidden="false" customHeight="false" outlineLevel="0" collapsed="false">
      <c r="A361" s="23"/>
      <c r="E361" s="8"/>
      <c r="G361" s="2"/>
      <c r="M361" s="8"/>
      <c r="Y361" s="8"/>
    </row>
    <row r="362" customFormat="false" ht="14.25" hidden="false" customHeight="false" outlineLevel="0" collapsed="false">
      <c r="A362" s="23"/>
      <c r="E362" s="8"/>
      <c r="G362" s="2"/>
      <c r="M362" s="8"/>
      <c r="Y362" s="8"/>
    </row>
    <row r="363" customFormat="false" ht="14.25" hidden="false" customHeight="false" outlineLevel="0" collapsed="false">
      <c r="A363" s="23"/>
      <c r="E363" s="8"/>
      <c r="G363" s="2"/>
      <c r="M363" s="8"/>
      <c r="Y363" s="8"/>
    </row>
    <row r="364" customFormat="false" ht="14.25" hidden="false" customHeight="false" outlineLevel="0" collapsed="false">
      <c r="A364" s="23"/>
      <c r="E364" s="8"/>
      <c r="G364" s="2"/>
      <c r="M364" s="8"/>
      <c r="Y364" s="8"/>
    </row>
    <row r="365" customFormat="false" ht="14.25" hidden="false" customHeight="false" outlineLevel="0" collapsed="false">
      <c r="A365" s="23"/>
      <c r="E365" s="8"/>
      <c r="G365" s="2"/>
      <c r="M365" s="8"/>
      <c r="Y365" s="8"/>
    </row>
    <row r="366" customFormat="false" ht="14.25" hidden="false" customHeight="false" outlineLevel="0" collapsed="false">
      <c r="A366" s="23"/>
      <c r="E366" s="8"/>
      <c r="G366" s="2"/>
      <c r="M366" s="8"/>
      <c r="Y366" s="8"/>
    </row>
    <row r="367" customFormat="false" ht="14.25" hidden="false" customHeight="false" outlineLevel="0" collapsed="false">
      <c r="A367" s="23"/>
      <c r="E367" s="8"/>
      <c r="G367" s="2"/>
      <c r="M367" s="8"/>
      <c r="Y367" s="8"/>
    </row>
    <row r="368" customFormat="false" ht="14.25" hidden="false" customHeight="false" outlineLevel="0" collapsed="false">
      <c r="A368" s="23"/>
      <c r="E368" s="8"/>
      <c r="G368" s="2"/>
      <c r="M368" s="8"/>
      <c r="Y368" s="8"/>
    </row>
    <row r="369" customFormat="false" ht="14.25" hidden="false" customHeight="false" outlineLevel="0" collapsed="false">
      <c r="A369" s="23"/>
      <c r="E369" s="8"/>
      <c r="G369" s="2"/>
      <c r="M369" s="8"/>
      <c r="Y369" s="8"/>
    </row>
    <row r="370" customFormat="false" ht="14.25" hidden="false" customHeight="false" outlineLevel="0" collapsed="false">
      <c r="A370" s="23"/>
      <c r="E370" s="8"/>
      <c r="G370" s="2"/>
      <c r="M370" s="8"/>
      <c r="Y370" s="8"/>
    </row>
    <row r="371" customFormat="false" ht="14.25" hidden="false" customHeight="false" outlineLevel="0" collapsed="false">
      <c r="A371" s="23"/>
      <c r="E371" s="8"/>
      <c r="G371" s="2"/>
      <c r="M371" s="8"/>
      <c r="Y371" s="8"/>
    </row>
    <row r="372" customFormat="false" ht="14.25" hidden="false" customHeight="false" outlineLevel="0" collapsed="false">
      <c r="A372" s="23"/>
      <c r="E372" s="8"/>
      <c r="G372" s="2"/>
      <c r="M372" s="8"/>
      <c r="Y372" s="8"/>
    </row>
    <row r="373" customFormat="false" ht="14.25" hidden="false" customHeight="false" outlineLevel="0" collapsed="false">
      <c r="A373" s="23"/>
      <c r="E373" s="8"/>
      <c r="G373" s="2"/>
      <c r="M373" s="8"/>
      <c r="Y373" s="8"/>
    </row>
    <row r="374" customFormat="false" ht="14.25" hidden="false" customHeight="false" outlineLevel="0" collapsed="false">
      <c r="A374" s="23"/>
      <c r="E374" s="8"/>
      <c r="G374" s="2"/>
      <c r="M374" s="8"/>
      <c r="Y374" s="8"/>
    </row>
    <row r="375" customFormat="false" ht="14.25" hidden="false" customHeight="false" outlineLevel="0" collapsed="false">
      <c r="A375" s="23"/>
      <c r="E375" s="8"/>
      <c r="G375" s="2"/>
      <c r="M375" s="8"/>
      <c r="Y375" s="8"/>
    </row>
    <row r="376" customFormat="false" ht="14.25" hidden="false" customHeight="false" outlineLevel="0" collapsed="false">
      <c r="A376" s="23"/>
      <c r="E376" s="8"/>
      <c r="G376" s="2"/>
      <c r="M376" s="8"/>
      <c r="Y376" s="8"/>
    </row>
    <row r="377" customFormat="false" ht="14.25" hidden="false" customHeight="false" outlineLevel="0" collapsed="false">
      <c r="A377" s="23"/>
      <c r="E377" s="8"/>
      <c r="G377" s="2"/>
      <c r="M377" s="8"/>
      <c r="Y377" s="8"/>
    </row>
    <row r="378" customFormat="false" ht="14.25" hidden="false" customHeight="false" outlineLevel="0" collapsed="false">
      <c r="A378" s="23"/>
      <c r="E378" s="8"/>
      <c r="G378" s="2"/>
      <c r="M378" s="8"/>
      <c r="Y378" s="8"/>
    </row>
    <row r="379" customFormat="false" ht="14.25" hidden="false" customHeight="false" outlineLevel="0" collapsed="false">
      <c r="A379" s="23"/>
      <c r="E379" s="8"/>
      <c r="G379" s="2"/>
      <c r="M379" s="8"/>
      <c r="Y379" s="8"/>
    </row>
    <row r="380" customFormat="false" ht="14.25" hidden="false" customHeight="false" outlineLevel="0" collapsed="false">
      <c r="A380" s="23"/>
      <c r="E380" s="8"/>
      <c r="G380" s="2"/>
      <c r="M380" s="8"/>
      <c r="Y380" s="8"/>
    </row>
    <row r="381" customFormat="false" ht="14.25" hidden="false" customHeight="false" outlineLevel="0" collapsed="false">
      <c r="A381" s="23"/>
      <c r="E381" s="8"/>
      <c r="G381" s="2"/>
      <c r="M381" s="8"/>
      <c r="Y381" s="8"/>
    </row>
    <row r="382" customFormat="false" ht="14.25" hidden="false" customHeight="false" outlineLevel="0" collapsed="false">
      <c r="A382" s="23"/>
      <c r="E382" s="8"/>
      <c r="G382" s="2"/>
      <c r="M382" s="8"/>
      <c r="Y382" s="8"/>
    </row>
    <row r="383" customFormat="false" ht="14.25" hidden="false" customHeight="false" outlineLevel="0" collapsed="false">
      <c r="A383" s="23"/>
      <c r="E383" s="8"/>
      <c r="G383" s="2"/>
      <c r="M383" s="8"/>
      <c r="Y383" s="8"/>
    </row>
    <row r="384" customFormat="false" ht="14.25" hidden="false" customHeight="false" outlineLevel="0" collapsed="false">
      <c r="A384" s="23"/>
      <c r="E384" s="8"/>
      <c r="G384" s="2"/>
      <c r="M384" s="8"/>
      <c r="Y384" s="8"/>
    </row>
    <row r="385" customFormat="false" ht="14.25" hidden="false" customHeight="false" outlineLevel="0" collapsed="false">
      <c r="A385" s="23"/>
      <c r="E385" s="8"/>
      <c r="G385" s="2"/>
      <c r="M385" s="8"/>
      <c r="Y385" s="8"/>
    </row>
    <row r="386" customFormat="false" ht="14.25" hidden="false" customHeight="false" outlineLevel="0" collapsed="false">
      <c r="A386" s="23"/>
      <c r="E386" s="8"/>
      <c r="G386" s="2"/>
      <c r="M386" s="8"/>
      <c r="Y386" s="8"/>
    </row>
    <row r="387" customFormat="false" ht="14.25" hidden="false" customHeight="false" outlineLevel="0" collapsed="false">
      <c r="A387" s="23"/>
      <c r="E387" s="8"/>
      <c r="G387" s="2"/>
      <c r="M387" s="8"/>
      <c r="Y387" s="8"/>
    </row>
    <row r="388" customFormat="false" ht="14.25" hidden="false" customHeight="false" outlineLevel="0" collapsed="false">
      <c r="A388" s="23"/>
      <c r="E388" s="8"/>
      <c r="G388" s="2"/>
      <c r="M388" s="8"/>
      <c r="Y388" s="8"/>
    </row>
    <row r="389" customFormat="false" ht="13.5" hidden="false" customHeight="false" outlineLevel="0" collapsed="false">
      <c r="A389" s="2"/>
      <c r="E389" s="8"/>
      <c r="G389" s="2"/>
      <c r="M389" s="8"/>
      <c r="Y389" s="8"/>
    </row>
    <row r="390" customFormat="false" ht="13.5" hidden="false" customHeight="false" outlineLevel="0" collapsed="false">
      <c r="A390" s="2"/>
      <c r="E390" s="8"/>
      <c r="G390" s="2"/>
      <c r="M390" s="8"/>
      <c r="Y390" s="8"/>
    </row>
    <row r="391" customFormat="false" ht="13.5" hidden="false" customHeight="false" outlineLevel="0" collapsed="false">
      <c r="A391" s="2"/>
      <c r="E391" s="8"/>
      <c r="G391" s="2"/>
      <c r="Y391" s="8"/>
    </row>
    <row r="392" customFormat="false" ht="13.5" hidden="false" customHeight="false" outlineLevel="0" collapsed="false">
      <c r="A392" s="2"/>
      <c r="E392" s="8"/>
      <c r="G392" s="2"/>
      <c r="Y392" s="8"/>
    </row>
    <row r="393" customFormat="false" ht="13.5" hidden="false" customHeight="false" outlineLevel="0" collapsed="false">
      <c r="A393" s="2"/>
      <c r="E393" s="8"/>
      <c r="G393" s="2"/>
      <c r="Y393" s="8"/>
    </row>
    <row r="394" customFormat="false" ht="13.5" hidden="false" customHeight="false" outlineLevel="0" collapsed="false">
      <c r="A394" s="2"/>
      <c r="E394" s="8"/>
      <c r="G394" s="2"/>
      <c r="Y394" s="8"/>
    </row>
    <row r="395" customFormat="false" ht="13.5" hidden="false" customHeight="false" outlineLevel="0" collapsed="false">
      <c r="A395" s="2"/>
      <c r="E395" s="8"/>
      <c r="G395" s="2"/>
      <c r="Y395" s="8"/>
    </row>
    <row r="396" customFormat="false" ht="13.5" hidden="false" customHeight="false" outlineLevel="0" collapsed="false">
      <c r="A396" s="2"/>
      <c r="E396" s="8"/>
      <c r="G396" s="2"/>
      <c r="Y396" s="8"/>
    </row>
    <row r="397" customFormat="false" ht="13.5" hidden="false" customHeight="false" outlineLevel="0" collapsed="false">
      <c r="A397" s="2"/>
      <c r="E397" s="8"/>
      <c r="G397" s="2"/>
      <c r="Y397" s="8"/>
    </row>
    <row r="398" customFormat="false" ht="13.5" hidden="false" customHeight="false" outlineLevel="0" collapsed="false">
      <c r="A398" s="2"/>
      <c r="E398" s="8"/>
      <c r="G398" s="2"/>
      <c r="Y398" s="8"/>
    </row>
    <row r="399" customFormat="false" ht="13.5" hidden="false" customHeight="false" outlineLevel="0" collapsed="false">
      <c r="A399" s="2"/>
      <c r="E399" s="8"/>
      <c r="G399" s="2"/>
      <c r="Y399" s="8"/>
    </row>
    <row r="400" customFormat="false" ht="13.5" hidden="false" customHeight="false" outlineLevel="0" collapsed="false">
      <c r="A400" s="2"/>
      <c r="E400" s="8"/>
      <c r="G400" s="2"/>
      <c r="Y400" s="8"/>
    </row>
    <row r="401" customFormat="false" ht="13.5" hidden="false" customHeight="false" outlineLevel="0" collapsed="false">
      <c r="A401" s="2"/>
      <c r="E401" s="8"/>
      <c r="G401" s="2"/>
      <c r="Y401" s="8"/>
    </row>
    <row r="402" customFormat="false" ht="13.5" hidden="false" customHeight="false" outlineLevel="0" collapsed="false">
      <c r="A402" s="2"/>
      <c r="E402" s="8"/>
      <c r="G402" s="2"/>
      <c r="Y402" s="8"/>
    </row>
    <row r="403" customFormat="false" ht="13.5" hidden="false" customHeight="false" outlineLevel="0" collapsed="false">
      <c r="A403" s="2"/>
      <c r="E403" s="8"/>
      <c r="G403" s="2"/>
      <c r="Y403" s="8"/>
    </row>
    <row r="404" customFormat="false" ht="13.5" hidden="false" customHeight="false" outlineLevel="0" collapsed="false">
      <c r="A404" s="2"/>
      <c r="E404" s="8"/>
      <c r="G404" s="2"/>
      <c r="Y404" s="8"/>
    </row>
    <row r="405" customFormat="false" ht="13.5" hidden="false" customHeight="false" outlineLevel="0" collapsed="false">
      <c r="A405" s="2"/>
      <c r="E405" s="8"/>
      <c r="G405" s="2"/>
      <c r="Y405" s="8"/>
    </row>
    <row r="406" customFormat="false" ht="13.5" hidden="false" customHeight="false" outlineLevel="0" collapsed="false">
      <c r="A406" s="2"/>
      <c r="E406" s="8"/>
      <c r="G406" s="2"/>
      <c r="Y406" s="8"/>
    </row>
    <row r="407" customFormat="false" ht="13.5" hidden="false" customHeight="false" outlineLevel="0" collapsed="false">
      <c r="A407" s="2"/>
      <c r="E407" s="8"/>
      <c r="G407" s="2"/>
      <c r="Y407" s="8"/>
    </row>
    <row r="408" customFormat="false" ht="13.5" hidden="false" customHeight="false" outlineLevel="0" collapsed="false">
      <c r="A408" s="2"/>
      <c r="E408" s="8"/>
      <c r="G408" s="2"/>
      <c r="Y408" s="8"/>
    </row>
    <row r="409" customFormat="false" ht="13.5" hidden="false" customHeight="false" outlineLevel="0" collapsed="false">
      <c r="A409" s="2"/>
      <c r="E409" s="8"/>
      <c r="G409" s="2"/>
      <c r="Y409" s="8"/>
    </row>
    <row r="410" customFormat="false" ht="13.5" hidden="false" customHeight="false" outlineLevel="0" collapsed="false">
      <c r="A410" s="2"/>
      <c r="E410" s="8"/>
      <c r="G410" s="2"/>
      <c r="Y410" s="8"/>
    </row>
    <row r="411" customFormat="false" ht="13.5" hidden="false" customHeight="false" outlineLevel="0" collapsed="false">
      <c r="A411" s="2"/>
      <c r="E411" s="8"/>
      <c r="G411" s="2"/>
      <c r="Y411" s="8"/>
    </row>
    <row r="412" customFormat="false" ht="13.5" hidden="false" customHeight="false" outlineLevel="0" collapsed="false">
      <c r="A412" s="2"/>
      <c r="E412" s="8"/>
      <c r="G412" s="2"/>
      <c r="Y412" s="8"/>
    </row>
    <row r="413" customFormat="false" ht="13.5" hidden="false" customHeight="false" outlineLevel="0" collapsed="false">
      <c r="A413" s="2"/>
      <c r="E413" s="8"/>
      <c r="G413" s="2"/>
      <c r="Y413" s="8"/>
    </row>
    <row r="414" customFormat="false" ht="13.5" hidden="false" customHeight="false" outlineLevel="0" collapsed="false">
      <c r="A414" s="2"/>
      <c r="E414" s="8"/>
      <c r="G414" s="2"/>
      <c r="Y414" s="8"/>
    </row>
    <row r="415" customFormat="false" ht="13.5" hidden="false" customHeight="false" outlineLevel="0" collapsed="false">
      <c r="A415" s="2"/>
      <c r="E415" s="8"/>
      <c r="G415" s="2"/>
      <c r="Y415" s="8"/>
    </row>
    <row r="416" customFormat="false" ht="13.5" hidden="false" customHeight="false" outlineLevel="0" collapsed="false">
      <c r="A416" s="2"/>
      <c r="E416" s="8"/>
      <c r="G416" s="2"/>
      <c r="Y416" s="8"/>
    </row>
    <row r="417" customFormat="false" ht="13.5" hidden="false" customHeight="false" outlineLevel="0" collapsed="false">
      <c r="A417" s="2"/>
      <c r="E417" s="8"/>
      <c r="G417" s="2"/>
      <c r="Y417" s="8"/>
    </row>
    <row r="418" customFormat="false" ht="13.5" hidden="false" customHeight="false" outlineLevel="0" collapsed="false">
      <c r="A418" s="2"/>
      <c r="E418" s="8"/>
      <c r="G418" s="2"/>
      <c r="Y418" s="8"/>
    </row>
    <row r="419" customFormat="false" ht="13.5" hidden="false" customHeight="false" outlineLevel="0" collapsed="false">
      <c r="A419" s="2"/>
      <c r="E419" s="8"/>
      <c r="G419" s="2"/>
      <c r="Y419" s="8"/>
    </row>
    <row r="420" customFormat="false" ht="13.5" hidden="false" customHeight="false" outlineLevel="0" collapsed="false">
      <c r="A420" s="2"/>
      <c r="E420" s="8"/>
      <c r="G420" s="2"/>
      <c r="Y420" s="8"/>
    </row>
    <row r="421" customFormat="false" ht="13.5" hidden="false" customHeight="false" outlineLevel="0" collapsed="false">
      <c r="A421" s="2"/>
      <c r="E421" s="8"/>
      <c r="G421" s="2"/>
      <c r="Y421" s="8"/>
    </row>
    <row r="422" customFormat="false" ht="13.5" hidden="false" customHeight="false" outlineLevel="0" collapsed="false">
      <c r="A422" s="2"/>
      <c r="E422" s="8"/>
      <c r="G422" s="2"/>
      <c r="Y422" s="8"/>
    </row>
    <row r="423" customFormat="false" ht="13.5" hidden="false" customHeight="false" outlineLevel="0" collapsed="false">
      <c r="A423" s="2"/>
      <c r="E423" s="8"/>
      <c r="G423" s="2"/>
      <c r="Y423" s="8"/>
    </row>
    <row r="424" customFormat="false" ht="13.5" hidden="false" customHeight="false" outlineLevel="0" collapsed="false">
      <c r="A424" s="2"/>
      <c r="E424" s="8"/>
      <c r="G424" s="2"/>
      <c r="Y424" s="8"/>
    </row>
    <row r="425" customFormat="false" ht="13.5" hidden="false" customHeight="false" outlineLevel="0" collapsed="false">
      <c r="A425" s="2"/>
      <c r="E425" s="8"/>
      <c r="G425" s="2"/>
      <c r="Y425" s="8"/>
    </row>
    <row r="426" customFormat="false" ht="13.5" hidden="false" customHeight="false" outlineLevel="0" collapsed="false">
      <c r="A426" s="2"/>
      <c r="E426" s="8"/>
      <c r="G426" s="2"/>
      <c r="Y426" s="8"/>
    </row>
    <row r="427" customFormat="false" ht="13.5" hidden="false" customHeight="false" outlineLevel="0" collapsed="false">
      <c r="A427" s="2"/>
      <c r="E427" s="8"/>
      <c r="G427" s="2"/>
      <c r="Y427" s="8"/>
    </row>
    <row r="428" customFormat="false" ht="13.5" hidden="false" customHeight="false" outlineLevel="0" collapsed="false">
      <c r="A428" s="2"/>
      <c r="E428" s="8"/>
      <c r="G428" s="2"/>
      <c r="Y428" s="8"/>
    </row>
    <row r="429" customFormat="false" ht="13.5" hidden="false" customHeight="false" outlineLevel="0" collapsed="false">
      <c r="A429" s="2"/>
      <c r="E429" s="8"/>
      <c r="G429" s="2"/>
      <c r="Y429" s="8"/>
    </row>
    <row r="430" customFormat="false" ht="13.5" hidden="false" customHeight="false" outlineLevel="0" collapsed="false">
      <c r="A430" s="2"/>
      <c r="E430" s="8"/>
      <c r="G430" s="2"/>
      <c r="Y430" s="8"/>
    </row>
    <row r="431" customFormat="false" ht="13.5" hidden="false" customHeight="false" outlineLevel="0" collapsed="false">
      <c r="A431" s="2"/>
      <c r="E431" s="8"/>
      <c r="G431" s="2"/>
      <c r="Y431" s="8"/>
    </row>
    <row r="432" customFormat="false" ht="12.75" hidden="false" customHeight="false" outlineLevel="0" collapsed="false">
      <c r="A432" s="2"/>
      <c r="G432" s="2"/>
    </row>
    <row r="433" customFormat="false" ht="12.75" hidden="false" customHeight="false" outlineLevel="0" collapsed="false">
      <c r="A433" s="2"/>
      <c r="G433" s="2"/>
    </row>
    <row r="434" customFormat="false" ht="12.75" hidden="false" customHeight="false" outlineLevel="0" collapsed="false">
      <c r="A434" s="2"/>
      <c r="G434" s="2"/>
    </row>
    <row r="435" customFormat="false" ht="12.75" hidden="false" customHeight="false" outlineLevel="0" collapsed="false">
      <c r="A435" s="2"/>
      <c r="G435" s="2"/>
    </row>
    <row r="436" customFormat="false" ht="12.75" hidden="false" customHeight="false" outlineLevel="0" collapsed="false">
      <c r="A436" s="2"/>
      <c r="G436" s="2"/>
    </row>
    <row r="437" customFormat="false" ht="12.75" hidden="false" customHeight="false" outlineLevel="0" collapsed="false">
      <c r="A437" s="2"/>
      <c r="G437" s="2"/>
    </row>
    <row r="438" customFormat="false" ht="12.75" hidden="false" customHeight="false" outlineLevel="0" collapsed="false">
      <c r="A438" s="2"/>
      <c r="G438" s="2"/>
    </row>
    <row r="439" customFormat="false" ht="12.75" hidden="false" customHeight="false" outlineLevel="0" collapsed="false">
      <c r="A439" s="2"/>
      <c r="G439" s="2"/>
    </row>
    <row r="440" customFormat="false" ht="12.75" hidden="false" customHeight="false" outlineLevel="0" collapsed="false">
      <c r="A440" s="2"/>
      <c r="G440" s="2"/>
    </row>
    <row r="441" customFormat="false" ht="12.75" hidden="false" customHeight="false" outlineLevel="0" collapsed="false">
      <c r="A441" s="2"/>
      <c r="G441" s="2"/>
    </row>
    <row r="442" customFormat="false" ht="12.75" hidden="false" customHeight="false" outlineLevel="0" collapsed="false">
      <c r="A442" s="2"/>
      <c r="G442" s="2"/>
    </row>
    <row r="443" customFormat="false" ht="12.75" hidden="false" customHeight="false" outlineLevel="0" collapsed="false">
      <c r="A443" s="2"/>
      <c r="G443" s="2"/>
    </row>
    <row r="444" customFormat="false" ht="12.75" hidden="false" customHeight="false" outlineLevel="0" collapsed="false">
      <c r="A444" s="2"/>
      <c r="G444" s="2"/>
    </row>
    <row r="445" customFormat="false" ht="12.75" hidden="false" customHeight="false" outlineLevel="0" collapsed="false">
      <c r="A445" s="2"/>
      <c r="G445" s="2"/>
    </row>
    <row r="446" customFormat="false" ht="12.75" hidden="false" customHeight="false" outlineLevel="0" collapsed="false">
      <c r="A446" s="2"/>
      <c r="G446" s="2"/>
    </row>
    <row r="447" customFormat="false" ht="12.75" hidden="false" customHeight="false" outlineLevel="0" collapsed="false">
      <c r="A447" s="2"/>
      <c r="G447" s="2"/>
    </row>
    <row r="448" customFormat="false" ht="12.75" hidden="false" customHeight="false" outlineLevel="0" collapsed="false">
      <c r="A448" s="2"/>
      <c r="G448" s="2"/>
    </row>
    <row r="449" customFormat="false" ht="12.75" hidden="false" customHeight="false" outlineLevel="0" collapsed="false">
      <c r="A449" s="2"/>
      <c r="G449" s="2"/>
    </row>
    <row r="450" customFormat="false" ht="12.75" hidden="false" customHeight="false" outlineLevel="0" collapsed="false">
      <c r="A450" s="2"/>
      <c r="G450" s="2"/>
    </row>
    <row r="451" customFormat="false" ht="12.75" hidden="false" customHeight="false" outlineLevel="0" collapsed="false">
      <c r="A451" s="2"/>
      <c r="G451" s="2"/>
    </row>
    <row r="452" customFormat="false" ht="12.75" hidden="false" customHeight="false" outlineLevel="0" collapsed="false">
      <c r="A452" s="2"/>
      <c r="G452" s="2"/>
    </row>
    <row r="453" customFormat="false" ht="12.75" hidden="false" customHeight="false" outlineLevel="0" collapsed="false">
      <c r="A453" s="2"/>
      <c r="G453" s="2"/>
    </row>
    <row r="454" customFormat="false" ht="12.75" hidden="false" customHeight="false" outlineLevel="0" collapsed="false">
      <c r="A454" s="2"/>
      <c r="G454" s="2"/>
    </row>
    <row r="455" customFormat="false" ht="12.75" hidden="false" customHeight="false" outlineLevel="0" collapsed="false">
      <c r="A455" s="2"/>
      <c r="G455" s="2"/>
    </row>
    <row r="456" customFormat="false" ht="12.75" hidden="false" customHeight="false" outlineLevel="0" collapsed="false">
      <c r="A456" s="2"/>
      <c r="G456" s="2"/>
    </row>
    <row r="457" customFormat="false" ht="12.75" hidden="false" customHeight="false" outlineLevel="0" collapsed="false">
      <c r="A457" s="2"/>
      <c r="G457" s="2"/>
    </row>
    <row r="458" customFormat="false" ht="12.75" hidden="false" customHeight="false" outlineLevel="0" collapsed="false">
      <c r="A458" s="2"/>
      <c r="G458" s="2"/>
    </row>
    <row r="459" customFormat="false" ht="12.75" hidden="false" customHeight="false" outlineLevel="0" collapsed="false">
      <c r="A459" s="2"/>
      <c r="G459" s="2"/>
    </row>
    <row r="460" customFormat="false" ht="12.75" hidden="false" customHeight="false" outlineLevel="0" collapsed="false">
      <c r="A460" s="2"/>
      <c r="G460" s="2"/>
    </row>
    <row r="461" customFormat="false" ht="12.75" hidden="false" customHeight="false" outlineLevel="0" collapsed="false">
      <c r="A461" s="2"/>
      <c r="G461" s="2"/>
    </row>
    <row r="462" customFormat="false" ht="12.75" hidden="false" customHeight="false" outlineLevel="0" collapsed="false">
      <c r="A462" s="2"/>
      <c r="G462" s="2"/>
    </row>
    <row r="463" customFormat="false" ht="12.75" hidden="false" customHeight="false" outlineLevel="0" collapsed="false">
      <c r="A463" s="2"/>
      <c r="G463" s="2"/>
    </row>
    <row r="464" customFormat="false" ht="12.75" hidden="false" customHeight="false" outlineLevel="0" collapsed="false">
      <c r="A464" s="2"/>
      <c r="G464" s="2"/>
    </row>
    <row r="465" customFormat="false" ht="12.75" hidden="false" customHeight="false" outlineLevel="0" collapsed="false">
      <c r="A465" s="2"/>
      <c r="G465" s="2"/>
    </row>
    <row r="466" customFormat="false" ht="12.75" hidden="false" customHeight="false" outlineLevel="0" collapsed="false">
      <c r="A466" s="2"/>
      <c r="G466" s="2"/>
    </row>
    <row r="467" customFormat="false" ht="12.75" hidden="false" customHeight="false" outlineLevel="0" collapsed="false">
      <c r="A467" s="2"/>
      <c r="G467" s="2"/>
    </row>
    <row r="468" customFormat="false" ht="12.75" hidden="false" customHeight="false" outlineLevel="0" collapsed="false">
      <c r="A468" s="2"/>
      <c r="G468" s="2"/>
    </row>
    <row r="469" customFormat="false" ht="12.75" hidden="false" customHeight="false" outlineLevel="0" collapsed="false">
      <c r="A469" s="2"/>
      <c r="G469" s="2"/>
    </row>
    <row r="470" customFormat="false" ht="12.75" hidden="false" customHeight="false" outlineLevel="0" collapsed="false">
      <c r="A470" s="2"/>
      <c r="G470" s="2"/>
    </row>
    <row r="471" customFormat="false" ht="12.75" hidden="false" customHeight="false" outlineLevel="0" collapsed="false">
      <c r="A471" s="2"/>
      <c r="G471" s="2"/>
    </row>
    <row r="472" customFormat="false" ht="12.75" hidden="false" customHeight="false" outlineLevel="0" collapsed="false">
      <c r="A472" s="2"/>
      <c r="G472" s="2"/>
    </row>
    <row r="473" customFormat="false" ht="12.75" hidden="false" customHeight="false" outlineLevel="0" collapsed="false">
      <c r="A473" s="2"/>
      <c r="G473" s="2"/>
    </row>
    <row r="474" customFormat="false" ht="12.75" hidden="false" customHeight="false" outlineLevel="0" collapsed="false">
      <c r="A474" s="2"/>
      <c r="G474" s="2"/>
    </row>
    <row r="475" customFormat="false" ht="12.75" hidden="false" customHeight="false" outlineLevel="0" collapsed="false">
      <c r="A475" s="2"/>
      <c r="G475" s="2"/>
    </row>
    <row r="476" customFormat="false" ht="12.75" hidden="false" customHeight="false" outlineLevel="0" collapsed="false">
      <c r="A476" s="2"/>
      <c r="G476" s="2"/>
    </row>
    <row r="477" customFormat="false" ht="12.75" hidden="false" customHeight="false" outlineLevel="0" collapsed="false">
      <c r="A477" s="2"/>
      <c r="G477" s="2"/>
    </row>
    <row r="478" customFormat="false" ht="12.75" hidden="false" customHeight="false" outlineLevel="0" collapsed="false">
      <c r="A478" s="2"/>
      <c r="G478" s="2"/>
    </row>
    <row r="479" customFormat="false" ht="12.75" hidden="false" customHeight="false" outlineLevel="0" collapsed="false">
      <c r="A479" s="2"/>
      <c r="G479" s="2"/>
    </row>
    <row r="480" customFormat="false" ht="12.75" hidden="false" customHeight="false" outlineLevel="0" collapsed="false">
      <c r="A480" s="2"/>
      <c r="G480" s="2"/>
    </row>
    <row r="481" customFormat="false" ht="12.75" hidden="false" customHeight="false" outlineLevel="0" collapsed="false">
      <c r="A481" s="2"/>
      <c r="G481" s="2"/>
    </row>
    <row r="482" customFormat="false" ht="12.75" hidden="false" customHeight="false" outlineLevel="0" collapsed="false">
      <c r="A482" s="2"/>
      <c r="G482" s="2"/>
    </row>
    <row r="483" customFormat="false" ht="12.75" hidden="false" customHeight="false" outlineLevel="0" collapsed="false">
      <c r="A483" s="2"/>
      <c r="G483" s="2"/>
    </row>
    <row r="484" customFormat="false" ht="12.75" hidden="false" customHeight="false" outlineLevel="0" collapsed="false">
      <c r="A484" s="2"/>
      <c r="G484" s="2"/>
    </row>
    <row r="485" customFormat="false" ht="12.75" hidden="false" customHeight="false" outlineLevel="0" collapsed="false">
      <c r="A485" s="2"/>
      <c r="G485" s="2"/>
    </row>
    <row r="486" customFormat="false" ht="12.75" hidden="false" customHeight="false" outlineLevel="0" collapsed="false">
      <c r="A486" s="2"/>
      <c r="G486" s="2"/>
    </row>
    <row r="487" customFormat="false" ht="12.75" hidden="false" customHeight="false" outlineLevel="0" collapsed="false">
      <c r="A487" s="2"/>
      <c r="G487" s="2"/>
    </row>
    <row r="488" customFormat="false" ht="12.75" hidden="false" customHeight="false" outlineLevel="0" collapsed="false">
      <c r="A488" s="2"/>
      <c r="G488" s="2"/>
    </row>
    <row r="489" customFormat="false" ht="12.75" hidden="false" customHeight="false" outlineLevel="0" collapsed="false">
      <c r="A489" s="2"/>
      <c r="G489" s="2"/>
    </row>
    <row r="490" customFormat="false" ht="12.75" hidden="false" customHeight="false" outlineLevel="0" collapsed="false">
      <c r="A490" s="2"/>
      <c r="G490" s="2"/>
    </row>
    <row r="491" customFormat="false" ht="12.75" hidden="false" customHeight="false" outlineLevel="0" collapsed="false">
      <c r="A491" s="2"/>
      <c r="G491" s="2"/>
    </row>
    <row r="492" customFormat="false" ht="12.75" hidden="false" customHeight="false" outlineLevel="0" collapsed="false">
      <c r="A492" s="2"/>
      <c r="G492" s="2"/>
    </row>
    <row r="493" customFormat="false" ht="12.75" hidden="false" customHeight="false" outlineLevel="0" collapsed="false">
      <c r="A493" s="2"/>
      <c r="G493" s="2"/>
    </row>
    <row r="494" customFormat="false" ht="12.75" hidden="false" customHeight="false" outlineLevel="0" collapsed="false">
      <c r="A494" s="2"/>
      <c r="G494" s="2"/>
    </row>
    <row r="495" customFormat="false" ht="12.75" hidden="false" customHeight="false" outlineLevel="0" collapsed="false">
      <c r="A495" s="2"/>
      <c r="G495" s="2"/>
    </row>
    <row r="496" customFormat="false" ht="12.75" hidden="false" customHeight="false" outlineLevel="0" collapsed="false">
      <c r="A496" s="2"/>
      <c r="G496" s="2"/>
    </row>
    <row r="497" customFormat="false" ht="12.75" hidden="false" customHeight="false" outlineLevel="0" collapsed="false">
      <c r="A497" s="2"/>
      <c r="G497" s="2"/>
    </row>
    <row r="498" customFormat="false" ht="12.75" hidden="false" customHeight="false" outlineLevel="0" collapsed="false">
      <c r="A498" s="2"/>
      <c r="G498" s="2"/>
    </row>
    <row r="499" customFormat="false" ht="12.75" hidden="false" customHeight="false" outlineLevel="0" collapsed="false">
      <c r="A499" s="2"/>
      <c r="G499" s="2"/>
    </row>
    <row r="500" customFormat="false" ht="12.75" hidden="false" customHeight="false" outlineLevel="0" collapsed="false">
      <c r="A500" s="2"/>
      <c r="G500" s="2"/>
    </row>
    <row r="501" customFormat="false" ht="12.75" hidden="false" customHeight="false" outlineLevel="0" collapsed="false">
      <c r="A501" s="2"/>
      <c r="G501" s="2"/>
    </row>
    <row r="502" customFormat="false" ht="12.75" hidden="false" customHeight="false" outlineLevel="0" collapsed="false">
      <c r="A502" s="2"/>
      <c r="G502" s="2"/>
    </row>
    <row r="503" customFormat="false" ht="12.75" hidden="false" customHeight="false" outlineLevel="0" collapsed="false">
      <c r="A503" s="2"/>
      <c r="G503" s="2"/>
    </row>
    <row r="504" customFormat="false" ht="12.75" hidden="false" customHeight="false" outlineLevel="0" collapsed="false">
      <c r="A504" s="2"/>
      <c r="G504" s="2"/>
    </row>
    <row r="505" customFormat="false" ht="12.75" hidden="false" customHeight="false" outlineLevel="0" collapsed="false">
      <c r="A505" s="2"/>
      <c r="G505" s="2"/>
    </row>
    <row r="506" customFormat="false" ht="12.75" hidden="false" customHeight="false" outlineLevel="0" collapsed="false">
      <c r="A506" s="2"/>
      <c r="G506" s="2"/>
    </row>
    <row r="507" customFormat="false" ht="12.75" hidden="false" customHeight="false" outlineLevel="0" collapsed="false">
      <c r="A507" s="2"/>
      <c r="G507" s="2"/>
    </row>
    <row r="508" customFormat="false" ht="12.75" hidden="false" customHeight="false" outlineLevel="0" collapsed="false">
      <c r="A508" s="2"/>
      <c r="G508" s="2"/>
    </row>
    <row r="509" customFormat="false" ht="12.75" hidden="false" customHeight="false" outlineLevel="0" collapsed="false">
      <c r="A509" s="2"/>
      <c r="G509" s="2"/>
    </row>
    <row r="510" customFormat="false" ht="12.75" hidden="false" customHeight="false" outlineLevel="0" collapsed="false">
      <c r="A510" s="2"/>
      <c r="G510" s="2"/>
    </row>
    <row r="511" customFormat="false" ht="12.75" hidden="false" customHeight="false" outlineLevel="0" collapsed="false">
      <c r="A511" s="2"/>
      <c r="G511" s="2"/>
    </row>
    <row r="512" customFormat="false" ht="12.75" hidden="false" customHeight="false" outlineLevel="0" collapsed="false">
      <c r="A512" s="2"/>
      <c r="G512" s="2"/>
    </row>
    <row r="513" customFormat="false" ht="12.75" hidden="false" customHeight="false" outlineLevel="0" collapsed="false">
      <c r="A513" s="2"/>
      <c r="G513" s="2"/>
    </row>
    <row r="514" customFormat="false" ht="12.75" hidden="false" customHeight="false" outlineLevel="0" collapsed="false">
      <c r="A514" s="2"/>
      <c r="G514" s="2"/>
    </row>
    <row r="515" customFormat="false" ht="12.75" hidden="false" customHeight="false" outlineLevel="0" collapsed="false">
      <c r="A515" s="2"/>
      <c r="G515" s="2"/>
    </row>
    <row r="516" customFormat="false" ht="12.75" hidden="false" customHeight="false" outlineLevel="0" collapsed="false">
      <c r="A516" s="2"/>
      <c r="G516" s="2"/>
    </row>
    <row r="517" customFormat="false" ht="12.75" hidden="false" customHeight="false" outlineLevel="0" collapsed="false">
      <c r="A517" s="2"/>
      <c r="G517" s="2"/>
    </row>
    <row r="518" customFormat="false" ht="12.75" hidden="false" customHeight="false" outlineLevel="0" collapsed="false">
      <c r="A518" s="2"/>
      <c r="G518" s="2"/>
    </row>
    <row r="519" customFormat="false" ht="12.75" hidden="false" customHeight="false" outlineLevel="0" collapsed="false">
      <c r="A519" s="2"/>
      <c r="G519" s="2"/>
    </row>
    <row r="520" customFormat="false" ht="12.75" hidden="false" customHeight="false" outlineLevel="0" collapsed="false">
      <c r="A520" s="2"/>
      <c r="G520" s="2"/>
    </row>
    <row r="521" customFormat="false" ht="12.75" hidden="false" customHeight="false" outlineLevel="0" collapsed="false">
      <c r="A521" s="2"/>
      <c r="G521" s="2"/>
    </row>
    <row r="522" customFormat="false" ht="12.75" hidden="false" customHeight="false" outlineLevel="0" collapsed="false">
      <c r="A522" s="2"/>
      <c r="G522" s="2"/>
    </row>
    <row r="523" customFormat="false" ht="12.75" hidden="false" customHeight="false" outlineLevel="0" collapsed="false">
      <c r="A523" s="2"/>
      <c r="G523" s="2"/>
    </row>
    <row r="524" customFormat="false" ht="12.75" hidden="false" customHeight="false" outlineLevel="0" collapsed="false">
      <c r="A524" s="2"/>
      <c r="G524" s="2"/>
    </row>
    <row r="525" customFormat="false" ht="12.75" hidden="false" customHeight="false" outlineLevel="0" collapsed="false">
      <c r="A525" s="2"/>
      <c r="G525" s="2"/>
    </row>
    <row r="526" customFormat="false" ht="12.75" hidden="false" customHeight="false" outlineLevel="0" collapsed="false">
      <c r="A526" s="2"/>
      <c r="G526" s="2"/>
    </row>
    <row r="527" customFormat="false" ht="12.75" hidden="false" customHeight="false" outlineLevel="0" collapsed="false">
      <c r="A527" s="2"/>
      <c r="G527" s="2"/>
    </row>
    <row r="528" customFormat="false" ht="12.75" hidden="false" customHeight="false" outlineLevel="0" collapsed="false">
      <c r="A528" s="2"/>
      <c r="G528" s="2"/>
    </row>
    <row r="529" customFormat="false" ht="12.75" hidden="false" customHeight="false" outlineLevel="0" collapsed="false">
      <c r="A529" s="2"/>
      <c r="G529" s="2"/>
    </row>
    <row r="530" customFormat="false" ht="12.75" hidden="false" customHeight="false" outlineLevel="0" collapsed="false">
      <c r="A530" s="2"/>
      <c r="G530" s="2"/>
    </row>
    <row r="531" customFormat="false" ht="12.75" hidden="false" customHeight="false" outlineLevel="0" collapsed="false">
      <c r="A531" s="2"/>
      <c r="G531" s="2"/>
    </row>
    <row r="532" customFormat="false" ht="12.75" hidden="false" customHeight="false" outlineLevel="0" collapsed="false">
      <c r="A532" s="2"/>
      <c r="G532" s="2"/>
    </row>
    <row r="533" customFormat="false" ht="12.75" hidden="false" customHeight="false" outlineLevel="0" collapsed="false">
      <c r="A533" s="2"/>
      <c r="G533" s="2"/>
    </row>
    <row r="534" customFormat="false" ht="12.75" hidden="false" customHeight="false" outlineLevel="0" collapsed="false">
      <c r="A534" s="2"/>
      <c r="G534" s="2"/>
    </row>
    <row r="535" customFormat="false" ht="12.75" hidden="false" customHeight="false" outlineLevel="0" collapsed="false">
      <c r="A535" s="2"/>
      <c r="G535" s="2"/>
    </row>
    <row r="536" customFormat="false" ht="12.75" hidden="false" customHeight="false" outlineLevel="0" collapsed="false">
      <c r="A536" s="2"/>
      <c r="G536" s="2"/>
    </row>
    <row r="537" customFormat="false" ht="12.75" hidden="false" customHeight="false" outlineLevel="0" collapsed="false">
      <c r="A537" s="2"/>
      <c r="G537" s="2"/>
    </row>
    <row r="538" customFormat="false" ht="12.75" hidden="false" customHeight="false" outlineLevel="0" collapsed="false">
      <c r="A538" s="2"/>
      <c r="G538" s="2"/>
    </row>
    <row r="539" customFormat="false" ht="12.75" hidden="false" customHeight="false" outlineLevel="0" collapsed="false">
      <c r="A539" s="2"/>
      <c r="G539" s="2"/>
    </row>
    <row r="540" customFormat="false" ht="12.75" hidden="false" customHeight="false" outlineLevel="0" collapsed="false">
      <c r="A540" s="2"/>
      <c r="G540" s="2"/>
    </row>
    <row r="541" customFormat="false" ht="12.75" hidden="false" customHeight="false" outlineLevel="0" collapsed="false">
      <c r="A541" s="2"/>
      <c r="G541" s="2"/>
    </row>
    <row r="542" customFormat="false" ht="12.75" hidden="false" customHeight="false" outlineLevel="0" collapsed="false">
      <c r="A542" s="2"/>
      <c r="G542" s="2"/>
    </row>
    <row r="543" customFormat="false" ht="12.75" hidden="false" customHeight="false" outlineLevel="0" collapsed="false">
      <c r="A543" s="2"/>
      <c r="G543" s="2"/>
    </row>
    <row r="544" customFormat="false" ht="12.75" hidden="false" customHeight="false" outlineLevel="0" collapsed="false">
      <c r="A544" s="2"/>
      <c r="G544" s="2"/>
    </row>
    <row r="545" customFormat="false" ht="12.75" hidden="false" customHeight="false" outlineLevel="0" collapsed="false">
      <c r="A545" s="2"/>
      <c r="G545" s="2"/>
    </row>
    <row r="546" customFormat="false" ht="12.75" hidden="false" customHeight="false" outlineLevel="0" collapsed="false">
      <c r="A546" s="2"/>
      <c r="G546" s="2"/>
    </row>
    <row r="547" customFormat="false" ht="12.75" hidden="false" customHeight="false" outlineLevel="0" collapsed="false">
      <c r="A547" s="2"/>
      <c r="G547" s="2"/>
    </row>
    <row r="548" customFormat="false" ht="12.75" hidden="false" customHeight="false" outlineLevel="0" collapsed="false">
      <c r="A548" s="2"/>
      <c r="G548" s="2"/>
    </row>
    <row r="549" customFormat="false" ht="12.75" hidden="false" customHeight="false" outlineLevel="0" collapsed="false">
      <c r="A549" s="2"/>
      <c r="G549" s="2"/>
    </row>
    <row r="550" customFormat="false" ht="12.75" hidden="false" customHeight="false" outlineLevel="0" collapsed="false">
      <c r="A550" s="2"/>
      <c r="G550" s="2"/>
    </row>
    <row r="551" customFormat="false" ht="12.75" hidden="false" customHeight="false" outlineLevel="0" collapsed="false">
      <c r="A551" s="2"/>
      <c r="G551" s="2"/>
    </row>
    <row r="552" customFormat="false" ht="12.75" hidden="false" customHeight="false" outlineLevel="0" collapsed="false">
      <c r="A552" s="2"/>
      <c r="G552" s="2"/>
    </row>
    <row r="553" customFormat="false" ht="12.75" hidden="false" customHeight="false" outlineLevel="0" collapsed="false">
      <c r="A553" s="2"/>
      <c r="G553" s="2"/>
    </row>
    <row r="554" customFormat="false" ht="12.75" hidden="false" customHeight="false" outlineLevel="0" collapsed="false">
      <c r="A554" s="2"/>
      <c r="G554" s="2"/>
    </row>
    <row r="555" customFormat="false" ht="12.75" hidden="false" customHeight="false" outlineLevel="0" collapsed="false">
      <c r="A555" s="2"/>
      <c r="G555" s="2"/>
    </row>
    <row r="556" customFormat="false" ht="12.75" hidden="false" customHeight="false" outlineLevel="0" collapsed="false">
      <c r="A556" s="2"/>
      <c r="G556" s="2"/>
    </row>
    <row r="557" customFormat="false" ht="12.75" hidden="false" customHeight="false" outlineLevel="0" collapsed="false">
      <c r="A557" s="2"/>
      <c r="G557" s="2"/>
    </row>
    <row r="558" customFormat="false" ht="12.75" hidden="false" customHeight="false" outlineLevel="0" collapsed="false">
      <c r="A558" s="2"/>
      <c r="G558" s="2"/>
    </row>
    <row r="559" customFormat="false" ht="12.75" hidden="false" customHeight="false" outlineLevel="0" collapsed="false">
      <c r="A559" s="2"/>
      <c r="G559" s="2"/>
    </row>
    <row r="560" customFormat="false" ht="12.75" hidden="false" customHeight="false" outlineLevel="0" collapsed="false">
      <c r="A560" s="2"/>
      <c r="G560" s="2"/>
    </row>
    <row r="561" customFormat="false" ht="12.75" hidden="false" customHeight="false" outlineLevel="0" collapsed="false">
      <c r="A561" s="2"/>
      <c r="G561" s="2"/>
    </row>
    <row r="562" customFormat="false" ht="12.75" hidden="false" customHeight="false" outlineLevel="0" collapsed="false">
      <c r="A562" s="2"/>
      <c r="G562" s="2"/>
    </row>
    <row r="563" customFormat="false" ht="12.75" hidden="false" customHeight="false" outlineLevel="0" collapsed="false">
      <c r="A563" s="2"/>
      <c r="G563" s="2"/>
    </row>
    <row r="564" customFormat="false" ht="12.75" hidden="false" customHeight="false" outlineLevel="0" collapsed="false">
      <c r="A564" s="2"/>
      <c r="G564" s="2"/>
    </row>
    <row r="565" customFormat="false" ht="12.75" hidden="false" customHeight="false" outlineLevel="0" collapsed="false">
      <c r="A565" s="2"/>
      <c r="G565" s="2"/>
    </row>
    <row r="566" customFormat="false" ht="12.75" hidden="false" customHeight="false" outlineLevel="0" collapsed="false">
      <c r="A566" s="2"/>
      <c r="G566" s="2"/>
    </row>
    <row r="567" customFormat="false" ht="12.75" hidden="false" customHeight="false" outlineLevel="0" collapsed="false">
      <c r="A567" s="2"/>
      <c r="G567" s="2"/>
    </row>
    <row r="568" customFormat="false" ht="12.75" hidden="false" customHeight="false" outlineLevel="0" collapsed="false">
      <c r="A568" s="2"/>
      <c r="G568" s="2"/>
    </row>
    <row r="569" customFormat="false" ht="12.75" hidden="false" customHeight="false" outlineLevel="0" collapsed="false">
      <c r="A569" s="2"/>
      <c r="G569" s="2"/>
    </row>
    <row r="570" customFormat="false" ht="12.75" hidden="false" customHeight="false" outlineLevel="0" collapsed="false">
      <c r="A570" s="2"/>
      <c r="G570" s="2"/>
    </row>
    <row r="571" customFormat="false" ht="12.75" hidden="false" customHeight="false" outlineLevel="0" collapsed="false">
      <c r="A571" s="2"/>
      <c r="G571" s="2"/>
    </row>
    <row r="572" customFormat="false" ht="12.75" hidden="false" customHeight="false" outlineLevel="0" collapsed="false">
      <c r="A572" s="2"/>
      <c r="G572" s="2"/>
    </row>
    <row r="573" customFormat="false" ht="12.75" hidden="false" customHeight="false" outlineLevel="0" collapsed="false">
      <c r="A573" s="2"/>
      <c r="G573" s="2"/>
    </row>
    <row r="574" customFormat="false" ht="12.75" hidden="false" customHeight="false" outlineLevel="0" collapsed="false">
      <c r="A574" s="2"/>
      <c r="G574" s="2"/>
    </row>
    <row r="575" customFormat="false" ht="12.75" hidden="false" customHeight="false" outlineLevel="0" collapsed="false">
      <c r="A575" s="2"/>
      <c r="G575" s="2"/>
    </row>
    <row r="576" customFormat="false" ht="12.75" hidden="false" customHeight="false" outlineLevel="0" collapsed="false">
      <c r="A576" s="2"/>
      <c r="G576" s="2"/>
    </row>
    <row r="577" customFormat="false" ht="12.75" hidden="false" customHeight="false" outlineLevel="0" collapsed="false">
      <c r="A577" s="2"/>
      <c r="G577" s="2"/>
    </row>
    <row r="578" customFormat="false" ht="12.75" hidden="false" customHeight="false" outlineLevel="0" collapsed="false">
      <c r="A578" s="2"/>
      <c r="G578" s="2"/>
    </row>
    <row r="579" customFormat="false" ht="12.75" hidden="false" customHeight="false" outlineLevel="0" collapsed="false">
      <c r="A579" s="2"/>
      <c r="G579" s="2"/>
    </row>
    <row r="580" customFormat="false" ht="12.75" hidden="false" customHeight="false" outlineLevel="0" collapsed="false">
      <c r="A580" s="2"/>
      <c r="G580" s="2"/>
    </row>
    <row r="581" customFormat="false" ht="12.75" hidden="false" customHeight="false" outlineLevel="0" collapsed="false">
      <c r="A581" s="2"/>
      <c r="G581" s="2"/>
    </row>
    <row r="582" customFormat="false" ht="12.75" hidden="false" customHeight="false" outlineLevel="0" collapsed="false">
      <c r="A582" s="2"/>
      <c r="G582" s="2"/>
    </row>
    <row r="583" customFormat="false" ht="12.75" hidden="false" customHeight="false" outlineLevel="0" collapsed="false">
      <c r="A583" s="2"/>
      <c r="G583" s="2"/>
    </row>
    <row r="584" customFormat="false" ht="12.75" hidden="false" customHeight="false" outlineLevel="0" collapsed="false">
      <c r="A584" s="2"/>
      <c r="G584" s="2"/>
    </row>
    <row r="585" customFormat="false" ht="12.75" hidden="false" customHeight="false" outlineLevel="0" collapsed="false">
      <c r="A585" s="2"/>
      <c r="G585" s="2"/>
    </row>
    <row r="586" customFormat="false" ht="12.75" hidden="false" customHeight="false" outlineLevel="0" collapsed="false">
      <c r="A586" s="2"/>
      <c r="G586" s="2"/>
    </row>
    <row r="587" customFormat="false" ht="12.75" hidden="false" customHeight="false" outlineLevel="0" collapsed="false">
      <c r="A587" s="2"/>
      <c r="G587" s="2"/>
    </row>
    <row r="588" customFormat="false" ht="12.75" hidden="false" customHeight="false" outlineLevel="0" collapsed="false">
      <c r="A588" s="2"/>
      <c r="G588" s="2"/>
    </row>
    <row r="589" customFormat="false" ht="12.75" hidden="false" customHeight="false" outlineLevel="0" collapsed="false">
      <c r="A589" s="2"/>
      <c r="G589" s="2"/>
    </row>
    <row r="590" customFormat="false" ht="12.75" hidden="false" customHeight="false" outlineLevel="0" collapsed="false">
      <c r="A590" s="2"/>
      <c r="G590" s="2"/>
    </row>
    <row r="591" customFormat="false" ht="12.75" hidden="false" customHeight="false" outlineLevel="0" collapsed="false">
      <c r="A591" s="2"/>
      <c r="G591" s="2"/>
    </row>
    <row r="592" customFormat="false" ht="12.75" hidden="false" customHeight="false" outlineLevel="0" collapsed="false">
      <c r="A592" s="2"/>
      <c r="G592" s="2"/>
    </row>
    <row r="593" customFormat="false" ht="12.75" hidden="false" customHeight="false" outlineLevel="0" collapsed="false">
      <c r="A593" s="2"/>
      <c r="G593" s="2"/>
    </row>
    <row r="594" customFormat="false" ht="12.75" hidden="false" customHeight="false" outlineLevel="0" collapsed="false">
      <c r="A594" s="2"/>
      <c r="G594" s="2"/>
    </row>
    <row r="595" customFormat="false" ht="12.75" hidden="false" customHeight="false" outlineLevel="0" collapsed="false">
      <c r="A595" s="2"/>
      <c r="G595" s="2"/>
    </row>
    <row r="596" customFormat="false" ht="12.75" hidden="false" customHeight="false" outlineLevel="0" collapsed="false">
      <c r="A596" s="2"/>
      <c r="G596" s="2"/>
    </row>
    <row r="597" customFormat="false" ht="12.75" hidden="false" customHeight="false" outlineLevel="0" collapsed="false">
      <c r="A597" s="2"/>
      <c r="G597" s="2"/>
    </row>
    <row r="598" customFormat="false" ht="12.75" hidden="false" customHeight="false" outlineLevel="0" collapsed="false">
      <c r="A598" s="2"/>
      <c r="G598" s="2"/>
    </row>
    <row r="599" customFormat="false" ht="12.75" hidden="false" customHeight="false" outlineLevel="0" collapsed="false">
      <c r="A599" s="2"/>
      <c r="G599" s="2"/>
    </row>
    <row r="600" customFormat="false" ht="12.75" hidden="false" customHeight="false" outlineLevel="0" collapsed="false">
      <c r="A600" s="2"/>
      <c r="G600" s="2"/>
    </row>
    <row r="601" customFormat="false" ht="12.75" hidden="false" customHeight="false" outlineLevel="0" collapsed="false">
      <c r="A601" s="2"/>
      <c r="G601" s="2"/>
    </row>
    <row r="602" customFormat="false" ht="12.75" hidden="false" customHeight="false" outlineLevel="0" collapsed="false">
      <c r="A602" s="2"/>
      <c r="G602" s="2"/>
    </row>
    <row r="603" customFormat="false" ht="12.75" hidden="false" customHeight="false" outlineLevel="0" collapsed="false">
      <c r="A603" s="2"/>
      <c r="G603" s="2"/>
    </row>
    <row r="604" customFormat="false" ht="12.75" hidden="false" customHeight="false" outlineLevel="0" collapsed="false">
      <c r="A604" s="2"/>
      <c r="G604" s="2"/>
    </row>
    <row r="605" customFormat="false" ht="12.75" hidden="false" customHeight="false" outlineLevel="0" collapsed="false">
      <c r="A605" s="2"/>
      <c r="G605" s="2"/>
    </row>
    <row r="606" customFormat="false" ht="12.75" hidden="false" customHeight="false" outlineLevel="0" collapsed="false">
      <c r="A606" s="2"/>
      <c r="G606" s="2"/>
    </row>
    <row r="607" customFormat="false" ht="12.75" hidden="false" customHeight="false" outlineLevel="0" collapsed="false">
      <c r="A607" s="2"/>
      <c r="G607" s="2"/>
    </row>
    <row r="608" customFormat="false" ht="12.75" hidden="false" customHeight="false" outlineLevel="0" collapsed="false">
      <c r="A608" s="2"/>
      <c r="G608" s="2"/>
    </row>
    <row r="609" customFormat="false" ht="12.75" hidden="false" customHeight="false" outlineLevel="0" collapsed="false">
      <c r="A609" s="2"/>
      <c r="G609" s="2"/>
    </row>
    <row r="610" customFormat="false" ht="12.75" hidden="false" customHeight="false" outlineLevel="0" collapsed="false">
      <c r="A610" s="2"/>
      <c r="G610" s="2"/>
    </row>
    <row r="611" customFormat="false" ht="12.75" hidden="false" customHeight="false" outlineLevel="0" collapsed="false">
      <c r="A611" s="2"/>
      <c r="G611" s="2"/>
    </row>
    <row r="612" customFormat="false" ht="12.75" hidden="false" customHeight="false" outlineLevel="0" collapsed="false">
      <c r="A612" s="2"/>
      <c r="G612" s="2"/>
    </row>
    <row r="613" customFormat="false" ht="12.75" hidden="false" customHeight="false" outlineLevel="0" collapsed="false">
      <c r="A613" s="2"/>
      <c r="G613" s="2"/>
    </row>
    <row r="614" customFormat="false" ht="12.75" hidden="false" customHeight="false" outlineLevel="0" collapsed="false">
      <c r="A614" s="2"/>
      <c r="G614" s="2"/>
    </row>
    <row r="615" customFormat="false" ht="12.75" hidden="false" customHeight="false" outlineLevel="0" collapsed="false">
      <c r="A615" s="2"/>
      <c r="G615" s="2"/>
    </row>
    <row r="616" customFormat="false" ht="12.75" hidden="false" customHeight="false" outlineLevel="0" collapsed="false">
      <c r="A616" s="2"/>
      <c r="G616" s="2"/>
    </row>
    <row r="617" customFormat="false" ht="12.75" hidden="false" customHeight="false" outlineLevel="0" collapsed="false">
      <c r="A617" s="2"/>
      <c r="G617" s="2"/>
    </row>
    <row r="618" customFormat="false" ht="12.75" hidden="false" customHeight="false" outlineLevel="0" collapsed="false">
      <c r="A618" s="2"/>
      <c r="G618" s="2"/>
    </row>
    <row r="619" customFormat="false" ht="12.75" hidden="false" customHeight="false" outlineLevel="0" collapsed="false">
      <c r="A619" s="2"/>
      <c r="G619" s="2"/>
    </row>
    <row r="620" customFormat="false" ht="12.75" hidden="false" customHeight="false" outlineLevel="0" collapsed="false">
      <c r="A620" s="2"/>
      <c r="G620" s="2"/>
    </row>
    <row r="621" customFormat="false" ht="12.75" hidden="false" customHeight="false" outlineLevel="0" collapsed="false">
      <c r="A621" s="2"/>
      <c r="G621" s="2"/>
    </row>
    <row r="622" customFormat="false" ht="12.75" hidden="false" customHeight="false" outlineLevel="0" collapsed="false">
      <c r="A622" s="2"/>
      <c r="G622" s="2"/>
    </row>
    <row r="623" customFormat="false" ht="12.75" hidden="false" customHeight="false" outlineLevel="0" collapsed="false">
      <c r="A623" s="2"/>
      <c r="G623" s="2"/>
    </row>
    <row r="624" customFormat="false" ht="12.75" hidden="false" customHeight="false" outlineLevel="0" collapsed="false">
      <c r="A624" s="2"/>
      <c r="G624" s="2"/>
    </row>
    <row r="625" customFormat="false" ht="12.75" hidden="false" customHeight="false" outlineLevel="0" collapsed="false">
      <c r="A625" s="2"/>
      <c r="G625" s="2"/>
    </row>
    <row r="626" customFormat="false" ht="12.75" hidden="false" customHeight="false" outlineLevel="0" collapsed="false">
      <c r="A626" s="2"/>
      <c r="G626" s="2"/>
    </row>
    <row r="627" customFormat="false" ht="12.75" hidden="false" customHeight="false" outlineLevel="0" collapsed="false">
      <c r="A627" s="2"/>
      <c r="G627" s="2"/>
    </row>
    <row r="628" customFormat="false" ht="12.75" hidden="false" customHeight="false" outlineLevel="0" collapsed="false">
      <c r="A628" s="2"/>
      <c r="G628" s="2"/>
    </row>
    <row r="629" customFormat="false" ht="12.75" hidden="false" customHeight="false" outlineLevel="0" collapsed="false">
      <c r="A629" s="2"/>
      <c r="G629" s="2"/>
    </row>
    <row r="630" customFormat="false" ht="12.75" hidden="false" customHeight="false" outlineLevel="0" collapsed="false">
      <c r="A630" s="2"/>
      <c r="G630" s="2"/>
    </row>
    <row r="631" customFormat="false" ht="12.75" hidden="false" customHeight="false" outlineLevel="0" collapsed="false">
      <c r="A631" s="2"/>
      <c r="G631" s="2"/>
    </row>
    <row r="632" customFormat="false" ht="12.75" hidden="false" customHeight="false" outlineLevel="0" collapsed="false">
      <c r="A632" s="2"/>
      <c r="G632" s="2"/>
    </row>
    <row r="633" customFormat="false" ht="12.75" hidden="false" customHeight="false" outlineLevel="0" collapsed="false">
      <c r="A633" s="2"/>
      <c r="G633" s="2"/>
    </row>
    <row r="634" customFormat="false" ht="12.75" hidden="false" customHeight="false" outlineLevel="0" collapsed="false">
      <c r="A634" s="2"/>
      <c r="G634" s="2"/>
    </row>
    <row r="635" customFormat="false" ht="12.75" hidden="false" customHeight="false" outlineLevel="0" collapsed="false">
      <c r="A635" s="2"/>
      <c r="G635" s="2"/>
    </row>
    <row r="636" customFormat="false" ht="12.75" hidden="false" customHeight="false" outlineLevel="0" collapsed="false">
      <c r="A636" s="2"/>
      <c r="G636" s="2"/>
    </row>
    <row r="637" customFormat="false" ht="12.75" hidden="false" customHeight="false" outlineLevel="0" collapsed="false">
      <c r="A637" s="2"/>
      <c r="G637" s="2"/>
    </row>
    <row r="638" customFormat="false" ht="12.75" hidden="false" customHeight="false" outlineLevel="0" collapsed="false">
      <c r="A638" s="2"/>
      <c r="G638" s="2"/>
    </row>
    <row r="639" customFormat="false" ht="12.75" hidden="false" customHeight="false" outlineLevel="0" collapsed="false">
      <c r="A639" s="2"/>
      <c r="G639" s="2"/>
    </row>
    <row r="640" customFormat="false" ht="12.75" hidden="false" customHeight="false" outlineLevel="0" collapsed="false">
      <c r="A640" s="2"/>
      <c r="G640" s="2"/>
    </row>
    <row r="641" customFormat="false" ht="12.75" hidden="false" customHeight="false" outlineLevel="0" collapsed="false">
      <c r="A641" s="2"/>
      <c r="G641" s="2"/>
    </row>
    <row r="642" customFormat="false" ht="12.75" hidden="false" customHeight="false" outlineLevel="0" collapsed="false">
      <c r="A642" s="2"/>
      <c r="G642" s="2"/>
    </row>
    <row r="643" customFormat="false" ht="12.75" hidden="false" customHeight="false" outlineLevel="0" collapsed="false">
      <c r="A643" s="2"/>
      <c r="G643" s="2"/>
    </row>
    <row r="644" customFormat="false" ht="12.75" hidden="false" customHeight="false" outlineLevel="0" collapsed="false">
      <c r="A644" s="2"/>
      <c r="G644" s="2"/>
    </row>
    <row r="645" customFormat="false" ht="12.75" hidden="false" customHeight="false" outlineLevel="0" collapsed="false">
      <c r="A645" s="2"/>
      <c r="G645" s="2"/>
    </row>
    <row r="646" customFormat="false" ht="12.75" hidden="false" customHeight="false" outlineLevel="0" collapsed="false">
      <c r="A646" s="2"/>
      <c r="G646" s="2"/>
    </row>
    <row r="647" customFormat="false" ht="12.75" hidden="false" customHeight="false" outlineLevel="0" collapsed="false">
      <c r="A647" s="2"/>
      <c r="G647" s="2"/>
    </row>
    <row r="648" customFormat="false" ht="12.75" hidden="false" customHeight="false" outlineLevel="0" collapsed="false">
      <c r="A648" s="2"/>
      <c r="G648" s="2"/>
    </row>
    <row r="649" customFormat="false" ht="12.75" hidden="false" customHeight="false" outlineLevel="0" collapsed="false">
      <c r="A649" s="2"/>
      <c r="G649" s="2"/>
    </row>
    <row r="650" customFormat="false" ht="12.75" hidden="false" customHeight="false" outlineLevel="0" collapsed="false">
      <c r="A650" s="2"/>
      <c r="G650" s="2"/>
    </row>
    <row r="651" customFormat="false" ht="12.75" hidden="false" customHeight="false" outlineLevel="0" collapsed="false">
      <c r="A651" s="2"/>
      <c r="G651" s="2"/>
    </row>
    <row r="652" customFormat="false" ht="12.75" hidden="false" customHeight="false" outlineLevel="0" collapsed="false">
      <c r="A652" s="2"/>
      <c r="G652" s="2"/>
    </row>
    <row r="653" customFormat="false" ht="12.75" hidden="false" customHeight="false" outlineLevel="0" collapsed="false">
      <c r="A653" s="2"/>
      <c r="G653" s="2"/>
    </row>
    <row r="654" customFormat="false" ht="12.75" hidden="false" customHeight="false" outlineLevel="0" collapsed="false">
      <c r="A654" s="2"/>
      <c r="G654" s="2"/>
    </row>
    <row r="655" customFormat="false" ht="12.75" hidden="false" customHeight="false" outlineLevel="0" collapsed="false">
      <c r="A655" s="2"/>
      <c r="G655" s="2"/>
    </row>
    <row r="656" customFormat="false" ht="12.75" hidden="false" customHeight="false" outlineLevel="0" collapsed="false">
      <c r="A656" s="2"/>
      <c r="G656" s="2"/>
    </row>
    <row r="657" customFormat="false" ht="12.75" hidden="false" customHeight="false" outlineLevel="0" collapsed="false">
      <c r="A657" s="2"/>
      <c r="G657" s="2"/>
    </row>
    <row r="658" customFormat="false" ht="12.75" hidden="false" customHeight="false" outlineLevel="0" collapsed="false">
      <c r="A658" s="2"/>
      <c r="G658" s="2"/>
    </row>
    <row r="659" customFormat="false" ht="12.75" hidden="false" customHeight="false" outlineLevel="0" collapsed="false">
      <c r="A659" s="2"/>
      <c r="G659" s="2"/>
    </row>
    <row r="660" customFormat="false" ht="12.75" hidden="false" customHeight="false" outlineLevel="0" collapsed="false">
      <c r="A660" s="2"/>
      <c r="G660" s="2"/>
    </row>
    <row r="661" customFormat="false" ht="12.75" hidden="false" customHeight="false" outlineLevel="0" collapsed="false">
      <c r="A661" s="2"/>
      <c r="G661" s="2"/>
    </row>
    <row r="662" customFormat="false" ht="12.75" hidden="false" customHeight="false" outlineLevel="0" collapsed="false">
      <c r="A662" s="2"/>
      <c r="G662" s="2"/>
    </row>
    <row r="663" customFormat="false" ht="12.75" hidden="false" customHeight="false" outlineLevel="0" collapsed="false">
      <c r="A663" s="2"/>
      <c r="G663" s="2"/>
    </row>
    <row r="664" customFormat="false" ht="12.75" hidden="false" customHeight="false" outlineLevel="0" collapsed="false">
      <c r="A664" s="2"/>
      <c r="G664" s="2"/>
    </row>
    <row r="665" customFormat="false" ht="12.75" hidden="false" customHeight="false" outlineLevel="0" collapsed="false">
      <c r="A665" s="2"/>
      <c r="G665" s="2"/>
    </row>
    <row r="666" customFormat="false" ht="12.75" hidden="false" customHeight="false" outlineLevel="0" collapsed="false">
      <c r="A666" s="2"/>
      <c r="G666" s="2"/>
    </row>
    <row r="667" customFormat="false" ht="12.75" hidden="false" customHeight="false" outlineLevel="0" collapsed="false">
      <c r="A667" s="2"/>
      <c r="G667" s="2"/>
    </row>
    <row r="668" customFormat="false" ht="12.75" hidden="false" customHeight="false" outlineLevel="0" collapsed="false">
      <c r="A668" s="2"/>
      <c r="G668" s="2"/>
    </row>
    <row r="669" customFormat="false" ht="12.75" hidden="false" customHeight="false" outlineLevel="0" collapsed="false">
      <c r="A669" s="2"/>
      <c r="G669" s="2"/>
    </row>
    <row r="670" customFormat="false" ht="12.75" hidden="false" customHeight="false" outlineLevel="0" collapsed="false">
      <c r="A670" s="2"/>
      <c r="G670" s="2"/>
    </row>
    <row r="671" customFormat="false" ht="12.75" hidden="false" customHeight="false" outlineLevel="0" collapsed="false">
      <c r="A671" s="2"/>
      <c r="G671" s="2"/>
    </row>
    <row r="672" customFormat="false" ht="12.75" hidden="false" customHeight="false" outlineLevel="0" collapsed="false">
      <c r="A672" s="2"/>
      <c r="G672" s="2"/>
    </row>
    <row r="673" customFormat="false" ht="12.75" hidden="false" customHeight="false" outlineLevel="0" collapsed="false">
      <c r="A673" s="2"/>
      <c r="G673" s="2"/>
    </row>
    <row r="674" customFormat="false" ht="12.75" hidden="false" customHeight="false" outlineLevel="0" collapsed="false">
      <c r="A674" s="2"/>
      <c r="G674" s="2"/>
    </row>
    <row r="675" customFormat="false" ht="12.75" hidden="false" customHeight="false" outlineLevel="0" collapsed="false">
      <c r="A675" s="2"/>
      <c r="G675" s="2"/>
    </row>
    <row r="676" customFormat="false" ht="12.75" hidden="false" customHeight="false" outlineLevel="0" collapsed="false">
      <c r="A676" s="2"/>
      <c r="G676" s="2"/>
    </row>
    <row r="677" customFormat="false" ht="12.75" hidden="false" customHeight="false" outlineLevel="0" collapsed="false">
      <c r="A677" s="2"/>
      <c r="G677" s="2"/>
    </row>
    <row r="678" customFormat="false" ht="12.75" hidden="false" customHeight="false" outlineLevel="0" collapsed="false">
      <c r="A678" s="2"/>
      <c r="G678" s="2"/>
    </row>
    <row r="679" customFormat="false" ht="12.75" hidden="false" customHeight="false" outlineLevel="0" collapsed="false">
      <c r="A679" s="2"/>
      <c r="G679" s="2"/>
    </row>
    <row r="680" customFormat="false" ht="12.75" hidden="false" customHeight="false" outlineLevel="0" collapsed="false">
      <c r="A680" s="2"/>
      <c r="G680" s="2"/>
    </row>
    <row r="681" customFormat="false" ht="12.75" hidden="false" customHeight="false" outlineLevel="0" collapsed="false">
      <c r="A681" s="2"/>
      <c r="G681" s="2"/>
    </row>
    <row r="682" customFormat="false" ht="12.75" hidden="false" customHeight="false" outlineLevel="0" collapsed="false">
      <c r="A682" s="2"/>
      <c r="G682" s="2"/>
    </row>
    <row r="683" customFormat="false" ht="12.75" hidden="false" customHeight="false" outlineLevel="0" collapsed="false">
      <c r="A683" s="2"/>
      <c r="G683" s="2"/>
    </row>
    <row r="684" customFormat="false" ht="12.75" hidden="false" customHeight="false" outlineLevel="0" collapsed="false">
      <c r="A684" s="2"/>
      <c r="G684" s="2"/>
    </row>
    <row r="685" customFormat="false" ht="12.75" hidden="false" customHeight="false" outlineLevel="0" collapsed="false">
      <c r="A685" s="2"/>
      <c r="G685" s="2"/>
    </row>
    <row r="686" customFormat="false" ht="12.75" hidden="false" customHeight="false" outlineLevel="0" collapsed="false">
      <c r="A686" s="2"/>
      <c r="G686" s="2"/>
    </row>
    <row r="687" customFormat="false" ht="12.75" hidden="false" customHeight="false" outlineLevel="0" collapsed="false">
      <c r="A687" s="2"/>
      <c r="G687" s="2"/>
    </row>
    <row r="688" customFormat="false" ht="12.75" hidden="false" customHeight="false" outlineLevel="0" collapsed="false">
      <c r="A688" s="2"/>
      <c r="G688" s="2"/>
    </row>
    <row r="689" customFormat="false" ht="12.75" hidden="false" customHeight="false" outlineLevel="0" collapsed="false">
      <c r="A689" s="2"/>
      <c r="G689" s="2"/>
    </row>
    <row r="690" customFormat="false" ht="12.75" hidden="false" customHeight="false" outlineLevel="0" collapsed="false">
      <c r="A690" s="2"/>
      <c r="G690" s="2"/>
    </row>
    <row r="691" customFormat="false" ht="12.75" hidden="false" customHeight="false" outlineLevel="0" collapsed="false">
      <c r="A691" s="2"/>
      <c r="G691" s="2"/>
    </row>
    <row r="692" customFormat="false" ht="12.75" hidden="false" customHeight="false" outlineLevel="0" collapsed="false">
      <c r="A692" s="2"/>
      <c r="G692" s="2"/>
    </row>
    <row r="693" customFormat="false" ht="12.75" hidden="false" customHeight="false" outlineLevel="0" collapsed="false">
      <c r="A693" s="2"/>
      <c r="G693" s="2"/>
    </row>
    <row r="694" customFormat="false" ht="12.75" hidden="false" customHeight="false" outlineLevel="0" collapsed="false">
      <c r="A694" s="2"/>
      <c r="G694" s="2"/>
    </row>
    <row r="695" customFormat="false" ht="12.75" hidden="false" customHeight="false" outlineLevel="0" collapsed="false">
      <c r="A695" s="2"/>
      <c r="G695" s="2"/>
    </row>
    <row r="696" customFormat="false" ht="12.75" hidden="false" customHeight="false" outlineLevel="0" collapsed="false">
      <c r="A696" s="2"/>
      <c r="G696" s="2"/>
    </row>
    <row r="697" customFormat="false" ht="12.75" hidden="false" customHeight="false" outlineLevel="0" collapsed="false">
      <c r="A697" s="2"/>
      <c r="G697" s="2"/>
    </row>
    <row r="698" customFormat="false" ht="12.75" hidden="false" customHeight="false" outlineLevel="0" collapsed="false">
      <c r="A698" s="2"/>
      <c r="G698" s="2"/>
    </row>
    <row r="699" customFormat="false" ht="12.75" hidden="false" customHeight="false" outlineLevel="0" collapsed="false">
      <c r="A699" s="2"/>
      <c r="G699" s="2"/>
    </row>
    <row r="700" customFormat="false" ht="12.75" hidden="false" customHeight="false" outlineLevel="0" collapsed="false">
      <c r="A700" s="2"/>
      <c r="G700" s="2"/>
    </row>
    <row r="701" customFormat="false" ht="12.75" hidden="false" customHeight="false" outlineLevel="0" collapsed="false">
      <c r="A701" s="2"/>
      <c r="G701" s="2"/>
    </row>
    <row r="702" customFormat="false" ht="12.75" hidden="false" customHeight="false" outlineLevel="0" collapsed="false">
      <c r="A702" s="2"/>
      <c r="G702" s="2"/>
    </row>
    <row r="703" customFormat="false" ht="12.75" hidden="false" customHeight="false" outlineLevel="0" collapsed="false">
      <c r="A703" s="2"/>
      <c r="G703" s="2"/>
    </row>
    <row r="704" customFormat="false" ht="12.75" hidden="false" customHeight="false" outlineLevel="0" collapsed="false">
      <c r="A704" s="2"/>
      <c r="G704" s="2"/>
    </row>
    <row r="705" customFormat="false" ht="12.75" hidden="false" customHeight="false" outlineLevel="0" collapsed="false">
      <c r="A705" s="2"/>
      <c r="G705" s="2"/>
    </row>
    <row r="706" customFormat="false" ht="12.75" hidden="false" customHeight="false" outlineLevel="0" collapsed="false">
      <c r="A706" s="2"/>
      <c r="G706" s="2"/>
    </row>
    <row r="707" customFormat="false" ht="12.75" hidden="false" customHeight="false" outlineLevel="0" collapsed="false">
      <c r="A707" s="2"/>
      <c r="G707" s="2"/>
    </row>
    <row r="708" customFormat="false" ht="12.75" hidden="false" customHeight="false" outlineLevel="0" collapsed="false">
      <c r="A708" s="2"/>
      <c r="G708" s="2"/>
    </row>
    <row r="709" customFormat="false" ht="12.75" hidden="false" customHeight="false" outlineLevel="0" collapsed="false">
      <c r="A709" s="2"/>
      <c r="G709" s="2"/>
    </row>
    <row r="710" customFormat="false" ht="12.75" hidden="false" customHeight="false" outlineLevel="0" collapsed="false">
      <c r="A710" s="2"/>
      <c r="G710" s="2"/>
    </row>
    <row r="711" customFormat="false" ht="12.75" hidden="false" customHeight="false" outlineLevel="0" collapsed="false">
      <c r="A711" s="2"/>
      <c r="G711" s="2"/>
    </row>
    <row r="712" customFormat="false" ht="12.75" hidden="false" customHeight="false" outlineLevel="0" collapsed="false">
      <c r="A712" s="2"/>
      <c r="G712" s="2"/>
    </row>
    <row r="713" customFormat="false" ht="12.75" hidden="false" customHeight="false" outlineLevel="0" collapsed="false">
      <c r="A713" s="2"/>
      <c r="G713" s="2"/>
    </row>
    <row r="714" customFormat="false" ht="12.75" hidden="false" customHeight="false" outlineLevel="0" collapsed="false">
      <c r="A714" s="2"/>
      <c r="G714" s="2"/>
    </row>
    <row r="715" customFormat="false" ht="12.75" hidden="false" customHeight="false" outlineLevel="0" collapsed="false">
      <c r="A715" s="2"/>
      <c r="G715" s="2"/>
    </row>
    <row r="716" customFormat="false" ht="12.75" hidden="false" customHeight="false" outlineLevel="0" collapsed="false">
      <c r="A716" s="2"/>
      <c r="G716" s="2"/>
    </row>
    <row r="717" customFormat="false" ht="12.75" hidden="false" customHeight="false" outlineLevel="0" collapsed="false">
      <c r="A717" s="2"/>
      <c r="G717" s="2"/>
    </row>
    <row r="718" customFormat="false" ht="12.75" hidden="false" customHeight="false" outlineLevel="0" collapsed="false">
      <c r="A718" s="2"/>
      <c r="G718" s="2"/>
    </row>
    <row r="719" customFormat="false" ht="12.75" hidden="false" customHeight="false" outlineLevel="0" collapsed="false">
      <c r="A719" s="2"/>
      <c r="G719" s="2"/>
    </row>
    <row r="720" customFormat="false" ht="12.75" hidden="false" customHeight="false" outlineLevel="0" collapsed="false">
      <c r="A720" s="2"/>
      <c r="G720" s="2"/>
    </row>
    <row r="721" customFormat="false" ht="12.75" hidden="false" customHeight="false" outlineLevel="0" collapsed="false">
      <c r="A721" s="2"/>
      <c r="G721" s="2"/>
    </row>
    <row r="722" customFormat="false" ht="12.75" hidden="false" customHeight="false" outlineLevel="0" collapsed="false">
      <c r="A722" s="2"/>
      <c r="G722" s="2"/>
    </row>
    <row r="723" customFormat="false" ht="12.75" hidden="false" customHeight="false" outlineLevel="0" collapsed="false">
      <c r="A723" s="2"/>
      <c r="G723" s="2"/>
    </row>
    <row r="724" customFormat="false" ht="12.75" hidden="false" customHeight="false" outlineLevel="0" collapsed="false">
      <c r="A724" s="2"/>
      <c r="G724" s="2"/>
    </row>
    <row r="725" customFormat="false" ht="12.75" hidden="false" customHeight="false" outlineLevel="0" collapsed="false">
      <c r="A725" s="2"/>
      <c r="G725" s="2"/>
    </row>
    <row r="726" customFormat="false" ht="12.75" hidden="false" customHeight="false" outlineLevel="0" collapsed="false">
      <c r="A726" s="2"/>
      <c r="G726" s="2"/>
    </row>
    <row r="727" customFormat="false" ht="12.75" hidden="false" customHeight="false" outlineLevel="0" collapsed="false">
      <c r="A727" s="2"/>
      <c r="G727" s="2"/>
    </row>
    <row r="728" customFormat="false" ht="12.75" hidden="false" customHeight="false" outlineLevel="0" collapsed="false">
      <c r="A728" s="2"/>
      <c r="G728" s="2"/>
    </row>
    <row r="729" customFormat="false" ht="12.75" hidden="false" customHeight="false" outlineLevel="0" collapsed="false">
      <c r="A729" s="2"/>
      <c r="G729" s="2"/>
    </row>
    <row r="730" customFormat="false" ht="12.75" hidden="false" customHeight="false" outlineLevel="0" collapsed="false">
      <c r="A730" s="2"/>
      <c r="G730" s="2"/>
    </row>
    <row r="731" customFormat="false" ht="12.75" hidden="false" customHeight="false" outlineLevel="0" collapsed="false">
      <c r="A731" s="2"/>
      <c r="G731" s="2"/>
    </row>
    <row r="732" customFormat="false" ht="12.75" hidden="false" customHeight="false" outlineLevel="0" collapsed="false">
      <c r="A732" s="2"/>
      <c r="G732" s="2"/>
    </row>
    <row r="733" customFormat="false" ht="12.75" hidden="false" customHeight="false" outlineLevel="0" collapsed="false">
      <c r="A733" s="2"/>
      <c r="G733" s="2"/>
    </row>
    <row r="734" customFormat="false" ht="12.75" hidden="false" customHeight="false" outlineLevel="0" collapsed="false">
      <c r="A734" s="2"/>
      <c r="G734" s="2"/>
    </row>
    <row r="735" customFormat="false" ht="12.75" hidden="false" customHeight="false" outlineLevel="0" collapsed="false">
      <c r="A735" s="2"/>
      <c r="G735" s="2"/>
    </row>
    <row r="736" customFormat="false" ht="12.75" hidden="false" customHeight="false" outlineLevel="0" collapsed="false">
      <c r="A736" s="2"/>
      <c r="G736" s="2"/>
    </row>
    <row r="737" customFormat="false" ht="12.75" hidden="false" customHeight="false" outlineLevel="0" collapsed="false">
      <c r="A737" s="2"/>
      <c r="G737" s="2"/>
    </row>
    <row r="738" customFormat="false" ht="12.75" hidden="false" customHeight="false" outlineLevel="0" collapsed="false">
      <c r="A738" s="2"/>
      <c r="G738" s="2"/>
    </row>
    <row r="739" customFormat="false" ht="12.75" hidden="false" customHeight="false" outlineLevel="0" collapsed="false">
      <c r="A739" s="2"/>
      <c r="G739" s="2"/>
    </row>
    <row r="740" customFormat="false" ht="12.75" hidden="false" customHeight="false" outlineLevel="0" collapsed="false">
      <c r="A740" s="2"/>
      <c r="G740" s="2"/>
    </row>
    <row r="741" customFormat="false" ht="12.75" hidden="false" customHeight="false" outlineLevel="0" collapsed="false">
      <c r="A741" s="2"/>
      <c r="G741" s="2"/>
    </row>
    <row r="742" customFormat="false" ht="12.75" hidden="false" customHeight="false" outlineLevel="0" collapsed="false">
      <c r="A742" s="2"/>
      <c r="G742" s="2"/>
    </row>
    <row r="743" customFormat="false" ht="12.75" hidden="false" customHeight="false" outlineLevel="0" collapsed="false">
      <c r="A743" s="2"/>
      <c r="G743" s="2"/>
    </row>
    <row r="744" customFormat="false" ht="12.75" hidden="false" customHeight="false" outlineLevel="0" collapsed="false">
      <c r="A744" s="2"/>
      <c r="G744" s="2"/>
    </row>
    <row r="745" customFormat="false" ht="12.75" hidden="false" customHeight="false" outlineLevel="0" collapsed="false">
      <c r="A745" s="2"/>
      <c r="G745" s="2"/>
    </row>
    <row r="746" customFormat="false" ht="12.75" hidden="false" customHeight="false" outlineLevel="0" collapsed="false">
      <c r="A746" s="2"/>
      <c r="G746" s="2"/>
    </row>
    <row r="747" customFormat="false" ht="12.75" hidden="false" customHeight="false" outlineLevel="0" collapsed="false">
      <c r="A747" s="2"/>
      <c r="G747" s="2"/>
    </row>
    <row r="748" customFormat="false" ht="12.75" hidden="false" customHeight="false" outlineLevel="0" collapsed="false">
      <c r="A748" s="2"/>
      <c r="G748" s="2"/>
    </row>
    <row r="749" customFormat="false" ht="12.75" hidden="false" customHeight="false" outlineLevel="0" collapsed="false">
      <c r="A749" s="2"/>
      <c r="G749" s="2"/>
    </row>
    <row r="750" customFormat="false" ht="12.75" hidden="false" customHeight="false" outlineLevel="0" collapsed="false">
      <c r="A750" s="2"/>
      <c r="G750" s="2"/>
    </row>
    <row r="751" customFormat="false" ht="12.75" hidden="false" customHeight="false" outlineLevel="0" collapsed="false">
      <c r="A751" s="2"/>
      <c r="G751" s="2"/>
    </row>
    <row r="752" customFormat="false" ht="12.75" hidden="false" customHeight="false" outlineLevel="0" collapsed="false">
      <c r="A752" s="2"/>
      <c r="G752" s="2"/>
    </row>
    <row r="753" customFormat="false" ht="12.75" hidden="false" customHeight="false" outlineLevel="0" collapsed="false">
      <c r="A753" s="2"/>
      <c r="G753" s="2"/>
    </row>
    <row r="754" customFormat="false" ht="12.75" hidden="false" customHeight="false" outlineLevel="0" collapsed="false">
      <c r="A754" s="2"/>
      <c r="G754" s="2"/>
    </row>
    <row r="755" customFormat="false" ht="12.75" hidden="false" customHeight="false" outlineLevel="0" collapsed="false">
      <c r="A755" s="2"/>
      <c r="G755" s="2"/>
    </row>
    <row r="756" customFormat="false" ht="12.75" hidden="false" customHeight="false" outlineLevel="0" collapsed="false">
      <c r="A756" s="2"/>
      <c r="G756" s="2"/>
    </row>
    <row r="757" customFormat="false" ht="12.75" hidden="false" customHeight="false" outlineLevel="0" collapsed="false">
      <c r="A757" s="2"/>
      <c r="G757" s="2"/>
    </row>
    <row r="758" customFormat="false" ht="12.75" hidden="false" customHeight="false" outlineLevel="0" collapsed="false">
      <c r="A758" s="2"/>
      <c r="G758" s="2"/>
    </row>
    <row r="759" customFormat="false" ht="12.75" hidden="false" customHeight="false" outlineLevel="0" collapsed="false">
      <c r="A759" s="2"/>
      <c r="G759" s="2"/>
    </row>
    <row r="760" customFormat="false" ht="12.75" hidden="false" customHeight="false" outlineLevel="0" collapsed="false">
      <c r="A760" s="2"/>
      <c r="G760" s="2"/>
    </row>
    <row r="761" customFormat="false" ht="12.75" hidden="false" customHeight="false" outlineLevel="0" collapsed="false">
      <c r="A761" s="2"/>
      <c r="G761" s="2"/>
    </row>
    <row r="762" customFormat="false" ht="12.75" hidden="false" customHeight="false" outlineLevel="0" collapsed="false">
      <c r="A762" s="2"/>
      <c r="G762" s="2"/>
    </row>
    <row r="763" customFormat="false" ht="12.75" hidden="false" customHeight="false" outlineLevel="0" collapsed="false">
      <c r="A763" s="2"/>
      <c r="G763" s="2"/>
    </row>
    <row r="764" customFormat="false" ht="12.75" hidden="false" customHeight="false" outlineLevel="0" collapsed="false">
      <c r="A764" s="2"/>
      <c r="G764" s="2"/>
    </row>
    <row r="765" customFormat="false" ht="12.75" hidden="false" customHeight="false" outlineLevel="0" collapsed="false">
      <c r="A765" s="2"/>
      <c r="G765" s="2"/>
    </row>
    <row r="766" customFormat="false" ht="12.75" hidden="false" customHeight="false" outlineLevel="0" collapsed="false">
      <c r="A766" s="2"/>
      <c r="G766" s="2"/>
    </row>
    <row r="767" customFormat="false" ht="12.75" hidden="false" customHeight="false" outlineLevel="0" collapsed="false">
      <c r="A767" s="2"/>
      <c r="G767" s="2"/>
    </row>
    <row r="768" customFormat="false" ht="12.75" hidden="false" customHeight="false" outlineLevel="0" collapsed="false">
      <c r="A768" s="2"/>
      <c r="G768" s="2"/>
    </row>
    <row r="769" customFormat="false" ht="12.75" hidden="false" customHeight="false" outlineLevel="0" collapsed="false">
      <c r="A769" s="2"/>
      <c r="G769" s="2"/>
    </row>
    <row r="770" customFormat="false" ht="12.75" hidden="false" customHeight="false" outlineLevel="0" collapsed="false">
      <c r="A770" s="2"/>
      <c r="G770" s="2"/>
    </row>
    <row r="771" customFormat="false" ht="12.75" hidden="false" customHeight="false" outlineLevel="0" collapsed="false">
      <c r="A771" s="2"/>
      <c r="G771" s="2"/>
    </row>
    <row r="772" customFormat="false" ht="12.75" hidden="false" customHeight="false" outlineLevel="0" collapsed="false">
      <c r="A772" s="2"/>
      <c r="G772" s="2"/>
    </row>
    <row r="773" customFormat="false" ht="12.75" hidden="false" customHeight="false" outlineLevel="0" collapsed="false">
      <c r="A773" s="2"/>
      <c r="G773" s="2"/>
    </row>
    <row r="774" customFormat="false" ht="12.75" hidden="false" customHeight="false" outlineLevel="0" collapsed="false">
      <c r="A774" s="2"/>
      <c r="G774" s="2"/>
    </row>
    <row r="775" customFormat="false" ht="12.75" hidden="false" customHeight="false" outlineLevel="0" collapsed="false">
      <c r="A775" s="2"/>
      <c r="G775" s="2"/>
    </row>
    <row r="776" customFormat="false" ht="12.75" hidden="false" customHeight="false" outlineLevel="0" collapsed="false">
      <c r="A776" s="2"/>
      <c r="G776" s="2"/>
    </row>
    <row r="777" customFormat="false" ht="12.75" hidden="false" customHeight="false" outlineLevel="0" collapsed="false">
      <c r="A777" s="2"/>
      <c r="G777" s="2"/>
    </row>
    <row r="778" customFormat="false" ht="12.75" hidden="false" customHeight="false" outlineLevel="0" collapsed="false">
      <c r="A778" s="2"/>
      <c r="G778" s="2"/>
    </row>
    <row r="779" customFormat="false" ht="12.75" hidden="false" customHeight="false" outlineLevel="0" collapsed="false">
      <c r="A779" s="2"/>
      <c r="G779" s="2"/>
    </row>
    <row r="780" customFormat="false" ht="12.75" hidden="false" customHeight="false" outlineLevel="0" collapsed="false">
      <c r="A780" s="2"/>
      <c r="G780" s="2"/>
    </row>
    <row r="781" customFormat="false" ht="12.75" hidden="false" customHeight="false" outlineLevel="0" collapsed="false">
      <c r="A781" s="2"/>
      <c r="G781" s="2"/>
    </row>
    <row r="782" customFormat="false" ht="12.75" hidden="false" customHeight="false" outlineLevel="0" collapsed="false">
      <c r="A782" s="2"/>
      <c r="G782" s="2"/>
    </row>
    <row r="783" customFormat="false" ht="12.75" hidden="false" customHeight="false" outlineLevel="0" collapsed="false">
      <c r="A783" s="2"/>
      <c r="G783" s="2"/>
    </row>
    <row r="784" customFormat="false" ht="12.75" hidden="false" customHeight="false" outlineLevel="0" collapsed="false">
      <c r="A784" s="2"/>
      <c r="G784" s="2"/>
    </row>
    <row r="785" customFormat="false" ht="12.75" hidden="false" customHeight="false" outlineLevel="0" collapsed="false">
      <c r="A785" s="2"/>
      <c r="G785" s="2"/>
    </row>
    <row r="786" customFormat="false" ht="12.75" hidden="false" customHeight="false" outlineLevel="0" collapsed="false">
      <c r="A786" s="2"/>
      <c r="G786" s="2"/>
    </row>
    <row r="787" customFormat="false" ht="12.75" hidden="false" customHeight="false" outlineLevel="0" collapsed="false">
      <c r="A787" s="2"/>
      <c r="G787" s="2"/>
    </row>
    <row r="788" customFormat="false" ht="12.75" hidden="false" customHeight="false" outlineLevel="0" collapsed="false">
      <c r="A788" s="2"/>
      <c r="G788" s="2"/>
    </row>
    <row r="789" customFormat="false" ht="12.75" hidden="false" customHeight="false" outlineLevel="0" collapsed="false">
      <c r="A789" s="2"/>
      <c r="G789" s="2"/>
    </row>
    <row r="790" customFormat="false" ht="12.75" hidden="false" customHeight="false" outlineLevel="0" collapsed="false">
      <c r="A790" s="2"/>
      <c r="G790" s="2"/>
    </row>
    <row r="791" customFormat="false" ht="12.75" hidden="false" customHeight="false" outlineLevel="0" collapsed="false">
      <c r="A791" s="2"/>
      <c r="G791" s="2"/>
    </row>
    <row r="792" customFormat="false" ht="12.75" hidden="false" customHeight="false" outlineLevel="0" collapsed="false">
      <c r="A792" s="2"/>
      <c r="G792" s="2"/>
    </row>
    <row r="793" customFormat="false" ht="12.75" hidden="false" customHeight="false" outlineLevel="0" collapsed="false">
      <c r="A793" s="2"/>
      <c r="G793" s="2"/>
    </row>
    <row r="794" customFormat="false" ht="12.75" hidden="false" customHeight="false" outlineLevel="0" collapsed="false">
      <c r="A794" s="2"/>
      <c r="G794" s="2"/>
    </row>
    <row r="795" customFormat="false" ht="12.75" hidden="false" customHeight="false" outlineLevel="0" collapsed="false">
      <c r="A795" s="2"/>
      <c r="G795" s="2"/>
    </row>
    <row r="796" customFormat="false" ht="12.75" hidden="false" customHeight="false" outlineLevel="0" collapsed="false">
      <c r="A796" s="2"/>
      <c r="G796" s="2"/>
    </row>
    <row r="797" customFormat="false" ht="12.75" hidden="false" customHeight="false" outlineLevel="0" collapsed="false">
      <c r="A797" s="2"/>
      <c r="G797" s="2"/>
    </row>
    <row r="798" customFormat="false" ht="12.75" hidden="false" customHeight="false" outlineLevel="0" collapsed="false">
      <c r="A798" s="2"/>
      <c r="G798" s="2"/>
    </row>
    <row r="799" customFormat="false" ht="12.75" hidden="false" customHeight="false" outlineLevel="0" collapsed="false">
      <c r="A799" s="2"/>
      <c r="G799" s="2"/>
    </row>
    <row r="800" customFormat="false" ht="12.75" hidden="false" customHeight="false" outlineLevel="0" collapsed="false">
      <c r="A800" s="2"/>
      <c r="G800" s="2"/>
    </row>
    <row r="801" customFormat="false" ht="12.75" hidden="false" customHeight="false" outlineLevel="0" collapsed="false">
      <c r="A801" s="2"/>
      <c r="G801" s="2"/>
    </row>
    <row r="802" customFormat="false" ht="12.75" hidden="false" customHeight="false" outlineLevel="0" collapsed="false">
      <c r="A802" s="2"/>
      <c r="G802" s="2"/>
    </row>
    <row r="803" customFormat="false" ht="12.75" hidden="false" customHeight="false" outlineLevel="0" collapsed="false">
      <c r="A803" s="2"/>
      <c r="G803" s="2"/>
    </row>
    <row r="804" customFormat="false" ht="12.75" hidden="false" customHeight="false" outlineLevel="0" collapsed="false">
      <c r="A804" s="2"/>
      <c r="G804" s="2"/>
    </row>
    <row r="805" customFormat="false" ht="12.75" hidden="false" customHeight="false" outlineLevel="0" collapsed="false">
      <c r="A805" s="2"/>
      <c r="G805" s="2"/>
    </row>
    <row r="806" customFormat="false" ht="12.75" hidden="false" customHeight="false" outlineLevel="0" collapsed="false">
      <c r="A806" s="2"/>
      <c r="G806" s="2"/>
    </row>
    <row r="807" customFormat="false" ht="12.75" hidden="false" customHeight="false" outlineLevel="0" collapsed="false">
      <c r="A807" s="2"/>
      <c r="G807" s="2"/>
    </row>
    <row r="808" customFormat="false" ht="12.75" hidden="false" customHeight="false" outlineLevel="0" collapsed="false">
      <c r="A808" s="2"/>
      <c r="G808" s="2"/>
    </row>
    <row r="809" customFormat="false" ht="12.75" hidden="false" customHeight="false" outlineLevel="0" collapsed="false">
      <c r="A809" s="2"/>
      <c r="G809" s="2"/>
    </row>
    <row r="810" customFormat="false" ht="12.75" hidden="false" customHeight="false" outlineLevel="0" collapsed="false">
      <c r="A810" s="2"/>
      <c r="G810" s="2"/>
    </row>
    <row r="811" customFormat="false" ht="12.75" hidden="false" customHeight="false" outlineLevel="0" collapsed="false">
      <c r="A811" s="2"/>
      <c r="G811" s="2"/>
    </row>
    <row r="812" customFormat="false" ht="12.75" hidden="false" customHeight="false" outlineLevel="0" collapsed="false">
      <c r="A812" s="2"/>
      <c r="G812" s="2"/>
    </row>
    <row r="813" customFormat="false" ht="12.75" hidden="false" customHeight="false" outlineLevel="0" collapsed="false">
      <c r="A813" s="2"/>
      <c r="G813" s="2"/>
    </row>
    <row r="814" customFormat="false" ht="12.75" hidden="false" customHeight="false" outlineLevel="0" collapsed="false">
      <c r="A814" s="2"/>
      <c r="G814" s="2"/>
    </row>
    <row r="815" customFormat="false" ht="12.75" hidden="false" customHeight="false" outlineLevel="0" collapsed="false">
      <c r="A815" s="2"/>
      <c r="G815" s="2"/>
    </row>
    <row r="816" customFormat="false" ht="12.75" hidden="false" customHeight="false" outlineLevel="0" collapsed="false">
      <c r="A816" s="2"/>
      <c r="G816" s="2"/>
    </row>
    <row r="817" customFormat="false" ht="12.75" hidden="false" customHeight="false" outlineLevel="0" collapsed="false">
      <c r="A817" s="2"/>
      <c r="G817" s="2"/>
    </row>
    <row r="818" customFormat="false" ht="12.75" hidden="false" customHeight="false" outlineLevel="0" collapsed="false">
      <c r="A818" s="2"/>
      <c r="G818" s="2"/>
    </row>
    <row r="819" customFormat="false" ht="12.75" hidden="false" customHeight="false" outlineLevel="0" collapsed="false">
      <c r="A819" s="2"/>
      <c r="G819" s="2"/>
    </row>
    <row r="820" customFormat="false" ht="12.75" hidden="false" customHeight="false" outlineLevel="0" collapsed="false">
      <c r="A820" s="2"/>
      <c r="G820" s="2"/>
    </row>
    <row r="821" customFormat="false" ht="12.75" hidden="false" customHeight="false" outlineLevel="0" collapsed="false">
      <c r="A821" s="2"/>
      <c r="G821" s="2"/>
    </row>
    <row r="822" customFormat="false" ht="12.75" hidden="false" customHeight="false" outlineLevel="0" collapsed="false">
      <c r="A822" s="2"/>
      <c r="G822" s="2"/>
    </row>
    <row r="823" customFormat="false" ht="12.75" hidden="false" customHeight="false" outlineLevel="0" collapsed="false">
      <c r="A823" s="2"/>
      <c r="G823" s="2"/>
    </row>
    <row r="824" customFormat="false" ht="12.75" hidden="false" customHeight="false" outlineLevel="0" collapsed="false">
      <c r="A824" s="2"/>
      <c r="G824" s="2"/>
    </row>
    <row r="825" customFormat="false" ht="12.75" hidden="false" customHeight="false" outlineLevel="0" collapsed="false">
      <c r="A825" s="2"/>
      <c r="G825" s="2"/>
    </row>
    <row r="826" customFormat="false" ht="12.75" hidden="false" customHeight="false" outlineLevel="0" collapsed="false">
      <c r="A826" s="2"/>
      <c r="G826" s="2"/>
    </row>
    <row r="827" customFormat="false" ht="12.75" hidden="false" customHeight="false" outlineLevel="0" collapsed="false">
      <c r="A827" s="2"/>
      <c r="G827" s="2"/>
    </row>
    <row r="828" customFormat="false" ht="12.75" hidden="false" customHeight="false" outlineLevel="0" collapsed="false">
      <c r="A828" s="2"/>
      <c r="G828" s="2"/>
    </row>
    <row r="829" customFormat="false" ht="12.75" hidden="false" customHeight="false" outlineLevel="0" collapsed="false">
      <c r="A829" s="2"/>
      <c r="G829" s="2"/>
    </row>
    <row r="830" customFormat="false" ht="12.75" hidden="false" customHeight="false" outlineLevel="0" collapsed="false">
      <c r="A830" s="2"/>
      <c r="G830" s="2"/>
    </row>
    <row r="831" customFormat="false" ht="12.75" hidden="false" customHeight="false" outlineLevel="0" collapsed="false">
      <c r="A831" s="2"/>
      <c r="G831" s="2"/>
    </row>
    <row r="832" customFormat="false" ht="12.75" hidden="false" customHeight="false" outlineLevel="0" collapsed="false">
      <c r="A832" s="2"/>
      <c r="G832" s="2"/>
    </row>
    <row r="833" customFormat="false" ht="12.75" hidden="false" customHeight="false" outlineLevel="0" collapsed="false">
      <c r="A833" s="2"/>
      <c r="G833" s="2"/>
    </row>
    <row r="834" customFormat="false" ht="12.75" hidden="false" customHeight="false" outlineLevel="0" collapsed="false">
      <c r="A834" s="2"/>
      <c r="G834" s="2"/>
    </row>
    <row r="835" customFormat="false" ht="12.75" hidden="false" customHeight="false" outlineLevel="0" collapsed="false">
      <c r="A835" s="2"/>
      <c r="G835" s="2"/>
    </row>
    <row r="836" customFormat="false" ht="12.75" hidden="false" customHeight="false" outlineLevel="0" collapsed="false">
      <c r="A836" s="2"/>
      <c r="G836" s="2"/>
    </row>
    <row r="837" customFormat="false" ht="12.75" hidden="false" customHeight="false" outlineLevel="0" collapsed="false">
      <c r="A837" s="2"/>
      <c r="G837" s="2"/>
    </row>
    <row r="838" customFormat="false" ht="12.75" hidden="false" customHeight="false" outlineLevel="0" collapsed="false">
      <c r="A838" s="2"/>
      <c r="G838" s="2"/>
    </row>
    <row r="839" customFormat="false" ht="12.75" hidden="false" customHeight="false" outlineLevel="0" collapsed="false">
      <c r="A839" s="2"/>
      <c r="G839" s="2"/>
    </row>
    <row r="840" customFormat="false" ht="12.75" hidden="false" customHeight="false" outlineLevel="0" collapsed="false">
      <c r="A840" s="2"/>
      <c r="G840" s="2"/>
    </row>
    <row r="841" customFormat="false" ht="12.75" hidden="false" customHeight="false" outlineLevel="0" collapsed="false">
      <c r="A841" s="2"/>
      <c r="G841" s="2"/>
    </row>
    <row r="842" customFormat="false" ht="12.75" hidden="false" customHeight="false" outlineLevel="0" collapsed="false">
      <c r="A842" s="2"/>
      <c r="G842" s="2"/>
    </row>
    <row r="843" customFormat="false" ht="12.75" hidden="false" customHeight="false" outlineLevel="0" collapsed="false">
      <c r="A843" s="2"/>
      <c r="G843" s="2"/>
    </row>
    <row r="844" customFormat="false" ht="12.75" hidden="false" customHeight="false" outlineLevel="0" collapsed="false">
      <c r="A844" s="2"/>
      <c r="G844" s="2"/>
    </row>
    <row r="845" customFormat="false" ht="12.75" hidden="false" customHeight="false" outlineLevel="0" collapsed="false">
      <c r="A845" s="2"/>
      <c r="G845" s="2"/>
    </row>
    <row r="846" customFormat="false" ht="12.75" hidden="false" customHeight="false" outlineLevel="0" collapsed="false">
      <c r="A846" s="2"/>
      <c r="G846" s="2"/>
    </row>
    <row r="847" customFormat="false" ht="12.75" hidden="false" customHeight="false" outlineLevel="0" collapsed="false">
      <c r="A847" s="2"/>
      <c r="G847" s="2"/>
    </row>
    <row r="848" customFormat="false" ht="12.75" hidden="false" customHeight="false" outlineLevel="0" collapsed="false">
      <c r="A848" s="2"/>
      <c r="G848" s="2"/>
    </row>
    <row r="849" customFormat="false" ht="12.75" hidden="false" customHeight="false" outlineLevel="0" collapsed="false">
      <c r="A849" s="2"/>
      <c r="G849" s="2"/>
    </row>
    <row r="850" customFormat="false" ht="12.75" hidden="false" customHeight="false" outlineLevel="0" collapsed="false">
      <c r="A850" s="2"/>
      <c r="G850" s="2"/>
    </row>
    <row r="851" customFormat="false" ht="12.75" hidden="false" customHeight="false" outlineLevel="0" collapsed="false">
      <c r="A851" s="2"/>
      <c r="G851" s="2"/>
    </row>
    <row r="852" customFormat="false" ht="12.75" hidden="false" customHeight="false" outlineLevel="0" collapsed="false">
      <c r="A852" s="2"/>
      <c r="G852" s="2"/>
    </row>
    <row r="853" customFormat="false" ht="12.75" hidden="false" customHeight="false" outlineLevel="0" collapsed="false">
      <c r="A853" s="2"/>
      <c r="G853" s="2"/>
    </row>
    <row r="854" customFormat="false" ht="12.75" hidden="false" customHeight="false" outlineLevel="0" collapsed="false">
      <c r="A854" s="2"/>
      <c r="G854" s="2"/>
    </row>
    <row r="855" customFormat="false" ht="12.75" hidden="false" customHeight="false" outlineLevel="0" collapsed="false">
      <c r="A855" s="2"/>
      <c r="G855" s="2"/>
    </row>
    <row r="856" customFormat="false" ht="12.75" hidden="false" customHeight="false" outlineLevel="0" collapsed="false">
      <c r="A856" s="2"/>
      <c r="G856" s="2"/>
    </row>
    <row r="857" customFormat="false" ht="12.75" hidden="false" customHeight="false" outlineLevel="0" collapsed="false">
      <c r="A857" s="2"/>
      <c r="G857" s="2"/>
    </row>
    <row r="858" customFormat="false" ht="12.75" hidden="false" customHeight="false" outlineLevel="0" collapsed="false">
      <c r="A858" s="2"/>
      <c r="G858" s="2"/>
    </row>
    <row r="859" customFormat="false" ht="12.75" hidden="false" customHeight="false" outlineLevel="0" collapsed="false">
      <c r="A859" s="2"/>
      <c r="G859" s="2"/>
    </row>
    <row r="860" customFormat="false" ht="12.75" hidden="false" customHeight="false" outlineLevel="0" collapsed="false">
      <c r="A860" s="2"/>
      <c r="G860" s="2"/>
    </row>
    <row r="861" customFormat="false" ht="12.75" hidden="false" customHeight="false" outlineLevel="0" collapsed="false">
      <c r="A861" s="2"/>
      <c r="G861" s="2"/>
    </row>
    <row r="862" customFormat="false" ht="12.75" hidden="false" customHeight="false" outlineLevel="0" collapsed="false">
      <c r="A862" s="2"/>
      <c r="G862" s="2"/>
    </row>
    <row r="863" customFormat="false" ht="12.75" hidden="false" customHeight="false" outlineLevel="0" collapsed="false">
      <c r="A863" s="2"/>
      <c r="G863" s="2"/>
    </row>
    <row r="864" customFormat="false" ht="12.75" hidden="false" customHeight="false" outlineLevel="0" collapsed="false">
      <c r="A864" s="2"/>
      <c r="G864" s="2"/>
    </row>
    <row r="865" customFormat="false" ht="12.75" hidden="false" customHeight="false" outlineLevel="0" collapsed="false">
      <c r="A865" s="2"/>
      <c r="G865" s="2"/>
    </row>
    <row r="866" customFormat="false" ht="12.75" hidden="false" customHeight="false" outlineLevel="0" collapsed="false">
      <c r="A866" s="2"/>
      <c r="G866" s="2"/>
    </row>
    <row r="867" customFormat="false" ht="12.75" hidden="false" customHeight="false" outlineLevel="0" collapsed="false">
      <c r="A867" s="2"/>
      <c r="G867" s="2"/>
    </row>
    <row r="868" customFormat="false" ht="12.75" hidden="false" customHeight="false" outlineLevel="0" collapsed="false">
      <c r="A868" s="2"/>
      <c r="G868" s="2"/>
    </row>
    <row r="869" customFormat="false" ht="12.75" hidden="false" customHeight="false" outlineLevel="0" collapsed="false">
      <c r="A869" s="2"/>
      <c r="G869" s="2"/>
    </row>
    <row r="870" customFormat="false" ht="12.75" hidden="false" customHeight="false" outlineLevel="0" collapsed="false">
      <c r="A870" s="2"/>
      <c r="G870" s="2"/>
    </row>
    <row r="871" customFormat="false" ht="12.75" hidden="false" customHeight="false" outlineLevel="0" collapsed="false">
      <c r="A871" s="2"/>
      <c r="G871" s="2"/>
    </row>
    <row r="872" customFormat="false" ht="12.75" hidden="false" customHeight="false" outlineLevel="0" collapsed="false">
      <c r="A872" s="2"/>
      <c r="G872" s="2"/>
    </row>
    <row r="873" customFormat="false" ht="12.75" hidden="false" customHeight="false" outlineLevel="0" collapsed="false">
      <c r="A873" s="2"/>
      <c r="G873" s="2"/>
    </row>
    <row r="874" customFormat="false" ht="12.75" hidden="false" customHeight="false" outlineLevel="0" collapsed="false">
      <c r="A874" s="2"/>
      <c r="G874" s="2"/>
    </row>
    <row r="875" customFormat="false" ht="12.75" hidden="false" customHeight="false" outlineLevel="0" collapsed="false">
      <c r="A875" s="2"/>
      <c r="G875" s="2"/>
    </row>
    <row r="876" customFormat="false" ht="12.75" hidden="false" customHeight="false" outlineLevel="0" collapsed="false">
      <c r="A876" s="2"/>
      <c r="G876" s="2"/>
    </row>
    <row r="877" customFormat="false" ht="12.75" hidden="false" customHeight="false" outlineLevel="0" collapsed="false">
      <c r="A877" s="2"/>
      <c r="G877" s="2"/>
    </row>
    <row r="878" customFormat="false" ht="12.75" hidden="false" customHeight="false" outlineLevel="0" collapsed="false">
      <c r="A878" s="2"/>
      <c r="G878" s="2"/>
    </row>
    <row r="879" customFormat="false" ht="12.75" hidden="false" customHeight="false" outlineLevel="0" collapsed="false">
      <c r="A879" s="2"/>
      <c r="G879" s="2"/>
    </row>
    <row r="880" customFormat="false" ht="12.75" hidden="false" customHeight="false" outlineLevel="0" collapsed="false">
      <c r="A880" s="2"/>
      <c r="G880" s="2"/>
    </row>
    <row r="881" customFormat="false" ht="12.75" hidden="false" customHeight="false" outlineLevel="0" collapsed="false">
      <c r="A881" s="2"/>
      <c r="G881" s="2"/>
    </row>
    <row r="882" customFormat="false" ht="12.75" hidden="false" customHeight="false" outlineLevel="0" collapsed="false">
      <c r="A882" s="2"/>
      <c r="G882" s="2"/>
    </row>
    <row r="883" customFormat="false" ht="12.75" hidden="false" customHeight="false" outlineLevel="0" collapsed="false">
      <c r="A883" s="2"/>
      <c r="G883" s="2"/>
    </row>
    <row r="884" customFormat="false" ht="12.75" hidden="false" customHeight="false" outlineLevel="0" collapsed="false">
      <c r="A884" s="2"/>
      <c r="G884" s="2"/>
    </row>
    <row r="885" customFormat="false" ht="12.75" hidden="false" customHeight="false" outlineLevel="0" collapsed="false">
      <c r="A885" s="2"/>
      <c r="G885" s="2"/>
    </row>
    <row r="886" customFormat="false" ht="12.75" hidden="false" customHeight="false" outlineLevel="0" collapsed="false">
      <c r="A886" s="2"/>
      <c r="G886" s="2"/>
    </row>
    <row r="887" customFormat="false" ht="12.75" hidden="false" customHeight="false" outlineLevel="0" collapsed="false">
      <c r="A887" s="2"/>
      <c r="G887" s="2"/>
    </row>
    <row r="888" customFormat="false" ht="12.75" hidden="false" customHeight="false" outlineLevel="0" collapsed="false">
      <c r="A888" s="2"/>
      <c r="G888" s="2"/>
    </row>
    <row r="889" customFormat="false" ht="12.75" hidden="false" customHeight="false" outlineLevel="0" collapsed="false">
      <c r="A889" s="2"/>
      <c r="G889" s="2"/>
    </row>
    <row r="890" customFormat="false" ht="12.75" hidden="false" customHeight="false" outlineLevel="0" collapsed="false">
      <c r="A890" s="2"/>
      <c r="G890" s="2"/>
    </row>
    <row r="891" customFormat="false" ht="12.75" hidden="false" customHeight="false" outlineLevel="0" collapsed="false">
      <c r="A891" s="2"/>
      <c r="G891" s="2"/>
    </row>
    <row r="892" customFormat="false" ht="12.75" hidden="false" customHeight="false" outlineLevel="0" collapsed="false">
      <c r="A892" s="2"/>
      <c r="G892" s="2"/>
    </row>
    <row r="893" customFormat="false" ht="12.75" hidden="false" customHeight="false" outlineLevel="0" collapsed="false">
      <c r="A893" s="2"/>
      <c r="G893" s="2"/>
    </row>
    <row r="894" customFormat="false" ht="12.75" hidden="false" customHeight="false" outlineLevel="0" collapsed="false">
      <c r="A894" s="2"/>
      <c r="G894" s="2"/>
    </row>
    <row r="895" customFormat="false" ht="12.75" hidden="false" customHeight="false" outlineLevel="0" collapsed="false">
      <c r="A895" s="2"/>
      <c r="G895" s="2"/>
    </row>
    <row r="896" customFormat="false" ht="12.75" hidden="false" customHeight="false" outlineLevel="0" collapsed="false">
      <c r="A896" s="2"/>
      <c r="G896" s="2"/>
    </row>
    <row r="897" customFormat="false" ht="12.75" hidden="false" customHeight="false" outlineLevel="0" collapsed="false">
      <c r="A897" s="2"/>
      <c r="G897" s="2"/>
    </row>
    <row r="898" customFormat="false" ht="12.75" hidden="false" customHeight="false" outlineLevel="0" collapsed="false">
      <c r="A898" s="2"/>
      <c r="G898" s="2"/>
    </row>
    <row r="899" customFormat="false" ht="12.75" hidden="false" customHeight="false" outlineLevel="0" collapsed="false">
      <c r="A899" s="2"/>
      <c r="G899" s="2"/>
    </row>
    <row r="900" customFormat="false" ht="12.75" hidden="false" customHeight="false" outlineLevel="0" collapsed="false">
      <c r="A900" s="2"/>
      <c r="G900" s="2"/>
    </row>
    <row r="901" customFormat="false" ht="12.75" hidden="false" customHeight="false" outlineLevel="0" collapsed="false">
      <c r="A901" s="2"/>
      <c r="G901" s="2"/>
    </row>
    <row r="902" customFormat="false" ht="12.75" hidden="false" customHeight="false" outlineLevel="0" collapsed="false">
      <c r="A902" s="2"/>
      <c r="G902" s="2"/>
    </row>
    <row r="903" customFormat="false" ht="12.75" hidden="false" customHeight="false" outlineLevel="0" collapsed="false">
      <c r="A903" s="2"/>
      <c r="G903" s="2"/>
    </row>
    <row r="904" customFormat="false" ht="12.75" hidden="false" customHeight="false" outlineLevel="0" collapsed="false">
      <c r="A904" s="2"/>
      <c r="G904" s="2"/>
    </row>
    <row r="905" customFormat="false" ht="12.75" hidden="false" customHeight="false" outlineLevel="0" collapsed="false">
      <c r="A905" s="2"/>
      <c r="G905" s="2"/>
    </row>
    <row r="906" customFormat="false" ht="12.75" hidden="false" customHeight="false" outlineLevel="0" collapsed="false">
      <c r="A906" s="2"/>
      <c r="G906" s="2"/>
    </row>
    <row r="907" customFormat="false" ht="12.75" hidden="false" customHeight="false" outlineLevel="0" collapsed="false">
      <c r="A907" s="2"/>
      <c r="G907" s="2"/>
    </row>
    <row r="908" customFormat="false" ht="12.75" hidden="false" customHeight="false" outlineLevel="0" collapsed="false">
      <c r="A908" s="2"/>
      <c r="G908" s="2"/>
    </row>
    <row r="909" customFormat="false" ht="12.75" hidden="false" customHeight="false" outlineLevel="0" collapsed="false">
      <c r="A909" s="2"/>
      <c r="G909" s="2"/>
    </row>
    <row r="910" customFormat="false" ht="12.75" hidden="false" customHeight="false" outlineLevel="0" collapsed="false">
      <c r="A910" s="2"/>
      <c r="G910" s="2"/>
    </row>
    <row r="911" customFormat="false" ht="12.75" hidden="false" customHeight="false" outlineLevel="0" collapsed="false">
      <c r="A911" s="2"/>
      <c r="G911" s="2"/>
    </row>
    <row r="912" customFormat="false" ht="12.75" hidden="false" customHeight="false" outlineLevel="0" collapsed="false">
      <c r="A912" s="2"/>
      <c r="G912" s="2"/>
    </row>
    <row r="913" customFormat="false" ht="12.75" hidden="false" customHeight="false" outlineLevel="0" collapsed="false">
      <c r="A913" s="2"/>
      <c r="G913" s="2"/>
    </row>
    <row r="914" customFormat="false" ht="12.75" hidden="false" customHeight="false" outlineLevel="0" collapsed="false">
      <c r="A914" s="2"/>
      <c r="G914" s="2"/>
    </row>
    <row r="915" customFormat="false" ht="12.75" hidden="false" customHeight="false" outlineLevel="0" collapsed="false">
      <c r="A915" s="2"/>
      <c r="G915" s="2"/>
    </row>
    <row r="916" customFormat="false" ht="12.75" hidden="false" customHeight="false" outlineLevel="0" collapsed="false">
      <c r="A916" s="2"/>
      <c r="G916" s="2"/>
    </row>
    <row r="917" customFormat="false" ht="12.75" hidden="false" customHeight="false" outlineLevel="0" collapsed="false">
      <c r="A917" s="2"/>
      <c r="G917" s="2"/>
    </row>
    <row r="918" customFormat="false" ht="12.75" hidden="false" customHeight="false" outlineLevel="0" collapsed="false">
      <c r="A918" s="2"/>
      <c r="G918" s="2"/>
    </row>
    <row r="919" customFormat="false" ht="12.75" hidden="false" customHeight="false" outlineLevel="0" collapsed="false">
      <c r="A919" s="2"/>
      <c r="G919" s="2"/>
    </row>
    <row r="920" customFormat="false" ht="12.75" hidden="false" customHeight="false" outlineLevel="0" collapsed="false">
      <c r="A920" s="2"/>
      <c r="G920" s="2"/>
    </row>
    <row r="921" customFormat="false" ht="12.75" hidden="false" customHeight="false" outlineLevel="0" collapsed="false">
      <c r="A921" s="2"/>
      <c r="G921" s="2"/>
    </row>
    <row r="922" customFormat="false" ht="12.75" hidden="false" customHeight="false" outlineLevel="0" collapsed="false">
      <c r="A922" s="2"/>
      <c r="G922" s="2"/>
    </row>
    <row r="923" customFormat="false" ht="12.75" hidden="false" customHeight="false" outlineLevel="0" collapsed="false">
      <c r="A923" s="2"/>
      <c r="G923" s="2"/>
    </row>
    <row r="924" customFormat="false" ht="12.75" hidden="false" customHeight="false" outlineLevel="0" collapsed="false">
      <c r="A924" s="2"/>
      <c r="G924" s="2"/>
    </row>
    <row r="925" customFormat="false" ht="12.75" hidden="false" customHeight="false" outlineLevel="0" collapsed="false">
      <c r="A925" s="2"/>
      <c r="G925" s="2"/>
    </row>
    <row r="926" customFormat="false" ht="12.75" hidden="false" customHeight="false" outlineLevel="0" collapsed="false">
      <c r="A926" s="2"/>
      <c r="G926" s="2"/>
    </row>
    <row r="927" customFormat="false" ht="12.75" hidden="false" customHeight="false" outlineLevel="0" collapsed="false">
      <c r="A927" s="2"/>
      <c r="G927" s="2"/>
    </row>
    <row r="928" customFormat="false" ht="12.75" hidden="false" customHeight="false" outlineLevel="0" collapsed="false">
      <c r="A928" s="2"/>
      <c r="G928" s="2"/>
    </row>
    <row r="929" customFormat="false" ht="12.75" hidden="false" customHeight="false" outlineLevel="0" collapsed="false">
      <c r="A929" s="2"/>
      <c r="G929" s="2"/>
    </row>
    <row r="930" customFormat="false" ht="12.75" hidden="false" customHeight="false" outlineLevel="0" collapsed="false">
      <c r="A930" s="2"/>
      <c r="G930" s="2"/>
    </row>
    <row r="931" customFormat="false" ht="12.75" hidden="false" customHeight="false" outlineLevel="0" collapsed="false">
      <c r="A931" s="2"/>
      <c r="G931" s="2"/>
    </row>
    <row r="932" customFormat="false" ht="12.75" hidden="false" customHeight="false" outlineLevel="0" collapsed="false">
      <c r="A932" s="2"/>
      <c r="G932" s="2"/>
    </row>
    <row r="933" customFormat="false" ht="12.75" hidden="false" customHeight="false" outlineLevel="0" collapsed="false">
      <c r="A933" s="2"/>
      <c r="G933" s="2"/>
    </row>
    <row r="934" customFormat="false" ht="12.75" hidden="false" customHeight="false" outlineLevel="0" collapsed="false">
      <c r="A934" s="2"/>
      <c r="G934" s="2"/>
    </row>
    <row r="935" customFormat="false" ht="12.75" hidden="false" customHeight="false" outlineLevel="0" collapsed="false">
      <c r="A935" s="2"/>
      <c r="G935" s="2"/>
    </row>
    <row r="936" customFormat="false" ht="12.75" hidden="false" customHeight="false" outlineLevel="0" collapsed="false">
      <c r="A936" s="2"/>
      <c r="G936" s="2"/>
    </row>
    <row r="937" customFormat="false" ht="12.75" hidden="false" customHeight="false" outlineLevel="0" collapsed="false">
      <c r="A937" s="2"/>
      <c r="G937" s="2"/>
    </row>
    <row r="938" customFormat="false" ht="12.75" hidden="false" customHeight="false" outlineLevel="0" collapsed="false">
      <c r="A938" s="2"/>
      <c r="G938" s="2"/>
    </row>
    <row r="939" customFormat="false" ht="12.75" hidden="false" customHeight="false" outlineLevel="0" collapsed="false">
      <c r="A939" s="2"/>
      <c r="G939" s="2"/>
    </row>
    <row r="940" customFormat="false" ht="12.75" hidden="false" customHeight="false" outlineLevel="0" collapsed="false">
      <c r="A940" s="2"/>
      <c r="G940" s="2"/>
    </row>
    <row r="941" customFormat="false" ht="12.75" hidden="false" customHeight="false" outlineLevel="0" collapsed="false">
      <c r="A941" s="2"/>
      <c r="G941" s="2"/>
    </row>
    <row r="942" customFormat="false" ht="12.75" hidden="false" customHeight="false" outlineLevel="0" collapsed="false">
      <c r="A942" s="2"/>
      <c r="G942" s="2"/>
    </row>
    <row r="943" customFormat="false" ht="12.75" hidden="false" customHeight="false" outlineLevel="0" collapsed="false">
      <c r="A943" s="2"/>
      <c r="G943" s="2"/>
    </row>
    <row r="944" customFormat="false" ht="12.75" hidden="false" customHeight="false" outlineLevel="0" collapsed="false">
      <c r="A944" s="2"/>
      <c r="G944" s="2"/>
    </row>
    <row r="945" customFormat="false" ht="12.75" hidden="false" customHeight="false" outlineLevel="0" collapsed="false">
      <c r="A945" s="2"/>
      <c r="G945" s="2"/>
    </row>
    <row r="946" customFormat="false" ht="12.75" hidden="false" customHeight="false" outlineLevel="0" collapsed="false">
      <c r="A946" s="2"/>
      <c r="G946" s="2"/>
    </row>
    <row r="947" customFormat="false" ht="12.75" hidden="false" customHeight="false" outlineLevel="0" collapsed="false">
      <c r="A947" s="2"/>
      <c r="G947" s="2"/>
    </row>
    <row r="948" customFormat="false" ht="12.75" hidden="false" customHeight="false" outlineLevel="0" collapsed="false">
      <c r="A948" s="2"/>
      <c r="G948" s="2"/>
    </row>
    <row r="949" customFormat="false" ht="12.75" hidden="false" customHeight="false" outlineLevel="0" collapsed="false">
      <c r="A949" s="2"/>
      <c r="G949" s="2"/>
    </row>
    <row r="950" customFormat="false" ht="12.75" hidden="false" customHeight="false" outlineLevel="0" collapsed="false">
      <c r="A950" s="2"/>
      <c r="G950" s="2"/>
    </row>
    <row r="951" customFormat="false" ht="12.75" hidden="false" customHeight="false" outlineLevel="0" collapsed="false">
      <c r="A951" s="2"/>
      <c r="G951" s="2"/>
    </row>
    <row r="952" customFormat="false" ht="12.75" hidden="false" customHeight="false" outlineLevel="0" collapsed="false">
      <c r="A952" s="2"/>
      <c r="G952" s="2"/>
    </row>
    <row r="953" customFormat="false" ht="12.75" hidden="false" customHeight="false" outlineLevel="0" collapsed="false">
      <c r="A953" s="2"/>
      <c r="G953" s="2"/>
    </row>
    <row r="954" customFormat="false" ht="12.75" hidden="false" customHeight="false" outlineLevel="0" collapsed="false">
      <c r="A954" s="2"/>
      <c r="G954" s="2"/>
    </row>
    <row r="955" customFormat="false" ht="12.75" hidden="false" customHeight="false" outlineLevel="0" collapsed="false">
      <c r="A955" s="2"/>
      <c r="G955" s="2"/>
    </row>
    <row r="956" customFormat="false" ht="12.75" hidden="false" customHeight="false" outlineLevel="0" collapsed="false">
      <c r="A956" s="2"/>
      <c r="G956" s="2"/>
    </row>
    <row r="957" customFormat="false" ht="12.75" hidden="false" customHeight="false" outlineLevel="0" collapsed="false">
      <c r="A957" s="2"/>
      <c r="G957" s="2"/>
    </row>
    <row r="958" customFormat="false" ht="12.75" hidden="false" customHeight="false" outlineLevel="0" collapsed="false">
      <c r="A958" s="2"/>
      <c r="G958" s="2"/>
    </row>
    <row r="959" customFormat="false" ht="12.75" hidden="false" customHeight="false" outlineLevel="0" collapsed="false">
      <c r="A959" s="2"/>
      <c r="G959" s="2"/>
    </row>
    <row r="960" customFormat="false" ht="12.75" hidden="false" customHeight="false" outlineLevel="0" collapsed="false">
      <c r="A960" s="2"/>
      <c r="G960" s="2"/>
    </row>
    <row r="961" customFormat="false" ht="12.75" hidden="false" customHeight="false" outlineLevel="0" collapsed="false">
      <c r="A961" s="2"/>
      <c r="G961" s="2"/>
    </row>
    <row r="962" customFormat="false" ht="12.75" hidden="false" customHeight="false" outlineLevel="0" collapsed="false">
      <c r="A962" s="2"/>
      <c r="G962" s="2"/>
    </row>
    <row r="963" customFormat="false" ht="12.75" hidden="false" customHeight="false" outlineLevel="0" collapsed="false">
      <c r="A963" s="2"/>
      <c r="G963" s="2"/>
    </row>
    <row r="964" customFormat="false" ht="12.75" hidden="false" customHeight="false" outlineLevel="0" collapsed="false">
      <c r="A964" s="2"/>
      <c r="G964" s="2"/>
    </row>
    <row r="965" customFormat="false" ht="12.75" hidden="false" customHeight="false" outlineLevel="0" collapsed="false">
      <c r="A965" s="2"/>
      <c r="G965" s="2"/>
    </row>
    <row r="966" customFormat="false" ht="12.75" hidden="false" customHeight="false" outlineLevel="0" collapsed="false">
      <c r="A966" s="2"/>
      <c r="G966" s="2"/>
    </row>
    <row r="967" customFormat="false" ht="12.75" hidden="false" customHeight="false" outlineLevel="0" collapsed="false">
      <c r="A967" s="2"/>
      <c r="G967" s="2"/>
    </row>
    <row r="968" customFormat="false" ht="12.75" hidden="false" customHeight="false" outlineLevel="0" collapsed="false">
      <c r="A968" s="2"/>
      <c r="G968" s="2"/>
    </row>
    <row r="969" customFormat="false" ht="12.75" hidden="false" customHeight="false" outlineLevel="0" collapsed="false">
      <c r="A969" s="2"/>
      <c r="G969" s="2"/>
    </row>
    <row r="970" customFormat="false" ht="12.75" hidden="false" customHeight="false" outlineLevel="0" collapsed="false">
      <c r="A970" s="2"/>
      <c r="G970" s="2"/>
    </row>
    <row r="971" customFormat="false" ht="12.75" hidden="false" customHeight="false" outlineLevel="0" collapsed="false">
      <c r="A971" s="2"/>
      <c r="G971" s="2"/>
    </row>
    <row r="972" customFormat="false" ht="12.75" hidden="false" customHeight="false" outlineLevel="0" collapsed="false">
      <c r="A972" s="2"/>
      <c r="G972" s="2"/>
    </row>
    <row r="973" customFormat="false" ht="12.75" hidden="false" customHeight="false" outlineLevel="0" collapsed="false">
      <c r="A973" s="2"/>
      <c r="G973" s="2"/>
    </row>
    <row r="974" customFormat="false" ht="12.75" hidden="false" customHeight="false" outlineLevel="0" collapsed="false">
      <c r="A974" s="2"/>
      <c r="G974" s="2"/>
    </row>
    <row r="975" customFormat="false" ht="12.75" hidden="false" customHeight="false" outlineLevel="0" collapsed="false">
      <c r="A975" s="2"/>
      <c r="G975" s="2"/>
    </row>
    <row r="976" customFormat="false" ht="12.75" hidden="false" customHeight="false" outlineLevel="0" collapsed="false">
      <c r="A976" s="2"/>
      <c r="G976" s="2"/>
    </row>
    <row r="977" customFormat="false" ht="12.75" hidden="false" customHeight="false" outlineLevel="0" collapsed="false">
      <c r="A977" s="2"/>
      <c r="G977" s="2"/>
    </row>
    <row r="978" customFormat="false" ht="12.75" hidden="false" customHeight="false" outlineLevel="0" collapsed="false">
      <c r="A978" s="2"/>
      <c r="G978" s="2"/>
    </row>
    <row r="979" customFormat="false" ht="12.75" hidden="false" customHeight="false" outlineLevel="0" collapsed="false">
      <c r="A979" s="2"/>
      <c r="G979" s="2"/>
    </row>
    <row r="980" customFormat="false" ht="12.75" hidden="false" customHeight="false" outlineLevel="0" collapsed="false">
      <c r="A980" s="2"/>
      <c r="G980" s="2"/>
    </row>
    <row r="981" customFormat="false" ht="12.75" hidden="false" customHeight="false" outlineLevel="0" collapsed="false">
      <c r="A981" s="2"/>
      <c r="G981" s="2"/>
    </row>
    <row r="982" customFormat="false" ht="12.75" hidden="false" customHeight="false" outlineLevel="0" collapsed="false">
      <c r="A982" s="2"/>
      <c r="G982" s="2"/>
    </row>
    <row r="983" customFormat="false" ht="12.75" hidden="false" customHeight="false" outlineLevel="0" collapsed="false">
      <c r="A983" s="2"/>
      <c r="G983" s="2"/>
    </row>
    <row r="984" customFormat="false" ht="12.75" hidden="false" customHeight="false" outlineLevel="0" collapsed="false">
      <c r="A984" s="2"/>
      <c r="G984" s="2"/>
    </row>
    <row r="985" customFormat="false" ht="12.75" hidden="false" customHeight="false" outlineLevel="0" collapsed="false">
      <c r="A985" s="2"/>
      <c r="G985" s="2"/>
    </row>
    <row r="986" customFormat="false" ht="12.75" hidden="false" customHeight="false" outlineLevel="0" collapsed="false">
      <c r="A986" s="2"/>
      <c r="G986" s="2"/>
    </row>
    <row r="987" customFormat="false" ht="12.75" hidden="false" customHeight="false" outlineLevel="0" collapsed="false">
      <c r="A987" s="2"/>
      <c r="G987" s="2"/>
    </row>
    <row r="988" customFormat="false" ht="12.75" hidden="false" customHeight="false" outlineLevel="0" collapsed="false">
      <c r="A988" s="2"/>
      <c r="G988" s="2"/>
    </row>
    <row r="989" customFormat="false" ht="12.75" hidden="false" customHeight="false" outlineLevel="0" collapsed="false">
      <c r="A989" s="2"/>
      <c r="G989" s="2"/>
    </row>
    <row r="990" customFormat="false" ht="12.75" hidden="false" customHeight="false" outlineLevel="0" collapsed="false">
      <c r="A990" s="2"/>
      <c r="G990" s="2"/>
    </row>
    <row r="991" customFormat="false" ht="12.75" hidden="false" customHeight="false" outlineLevel="0" collapsed="false">
      <c r="A991" s="2"/>
      <c r="G991" s="2"/>
    </row>
    <row r="992" customFormat="false" ht="12.75" hidden="false" customHeight="false" outlineLevel="0" collapsed="false">
      <c r="A992" s="2"/>
      <c r="G992" s="2"/>
    </row>
    <row r="993" customFormat="false" ht="12.75" hidden="false" customHeight="false" outlineLevel="0" collapsed="false">
      <c r="A993" s="2"/>
      <c r="G993" s="2"/>
    </row>
    <row r="994" customFormat="false" ht="12.75" hidden="false" customHeight="false" outlineLevel="0" collapsed="false">
      <c r="A994" s="2"/>
      <c r="G994" s="2"/>
    </row>
    <row r="995" customFormat="false" ht="12.75" hidden="false" customHeight="false" outlineLevel="0" collapsed="false">
      <c r="A995" s="2"/>
      <c r="G995" s="2"/>
    </row>
    <row r="996" customFormat="false" ht="12.75" hidden="false" customHeight="false" outlineLevel="0" collapsed="false">
      <c r="A996" s="2"/>
      <c r="G996" s="2"/>
    </row>
    <row r="997" customFormat="false" ht="12.75" hidden="false" customHeight="false" outlineLevel="0" collapsed="false">
      <c r="A997" s="2"/>
      <c r="G997" s="2"/>
    </row>
    <row r="998" customFormat="false" ht="12.75" hidden="false" customHeight="false" outlineLevel="0" collapsed="false">
      <c r="A998" s="2"/>
      <c r="G998" s="2"/>
    </row>
    <row r="999" customFormat="false" ht="12.75" hidden="false" customHeight="false" outlineLevel="0" collapsed="false">
      <c r="A999" s="2"/>
      <c r="G999" s="2"/>
    </row>
    <row r="1000" customFormat="false" ht="12.75" hidden="false" customHeight="false" outlineLevel="0" collapsed="false">
      <c r="A1000" s="2"/>
      <c r="G1000" s="2"/>
    </row>
    <row r="1001" customFormat="false" ht="12.75" hidden="false" customHeight="false" outlineLevel="0" collapsed="false">
      <c r="A1001" s="2"/>
      <c r="G1001" s="2"/>
    </row>
    <row r="1002" customFormat="false" ht="12.75" hidden="false" customHeight="false" outlineLevel="0" collapsed="false">
      <c r="A1002" s="2"/>
      <c r="G1002" s="2"/>
    </row>
    <row r="1003" customFormat="false" ht="12.75" hidden="false" customHeight="false" outlineLevel="0" collapsed="false">
      <c r="A1003" s="2"/>
      <c r="G1003" s="2"/>
    </row>
    <row r="1004" customFormat="false" ht="12.75" hidden="false" customHeight="false" outlineLevel="0" collapsed="false">
      <c r="A1004" s="2"/>
      <c r="G1004" s="2"/>
    </row>
    <row r="1005" customFormat="false" ht="12.75" hidden="false" customHeight="false" outlineLevel="0" collapsed="false">
      <c r="A1005" s="2"/>
      <c r="G1005" s="2"/>
    </row>
    <row r="1006" customFormat="false" ht="12.75" hidden="false" customHeight="false" outlineLevel="0" collapsed="false">
      <c r="A1006" s="2"/>
      <c r="G1006" s="2"/>
    </row>
    <row r="1007" customFormat="false" ht="12.75" hidden="false" customHeight="false" outlineLevel="0" collapsed="false">
      <c r="A1007" s="2"/>
      <c r="G1007" s="2"/>
    </row>
    <row r="1008" customFormat="false" ht="12.75" hidden="false" customHeight="false" outlineLevel="0" collapsed="false">
      <c r="A1008" s="2"/>
      <c r="G1008" s="2"/>
    </row>
    <row r="1009" customFormat="false" ht="12.75" hidden="false" customHeight="false" outlineLevel="0" collapsed="false">
      <c r="A1009" s="2"/>
      <c r="G1009" s="2"/>
    </row>
    <row r="1010" customFormat="false" ht="12.75" hidden="false" customHeight="false" outlineLevel="0" collapsed="false">
      <c r="A1010" s="2"/>
      <c r="G1010" s="2"/>
    </row>
    <row r="1011" customFormat="false" ht="12.75" hidden="false" customHeight="false" outlineLevel="0" collapsed="false">
      <c r="A1011" s="2"/>
      <c r="G1011" s="2"/>
    </row>
    <row r="1012" customFormat="false" ht="12.75" hidden="false" customHeight="false" outlineLevel="0" collapsed="false">
      <c r="A1012" s="2"/>
      <c r="G1012" s="2"/>
    </row>
    <row r="1013" customFormat="false" ht="12.75" hidden="false" customHeight="false" outlineLevel="0" collapsed="false">
      <c r="A1013" s="2"/>
      <c r="G1013" s="2"/>
    </row>
    <row r="1014" customFormat="false" ht="12.75" hidden="false" customHeight="false" outlineLevel="0" collapsed="false">
      <c r="A1014" s="2"/>
      <c r="G1014" s="2"/>
    </row>
    <row r="1015" customFormat="false" ht="12.75" hidden="false" customHeight="false" outlineLevel="0" collapsed="false">
      <c r="A1015" s="2"/>
      <c r="G1015" s="2"/>
    </row>
    <row r="1016" customFormat="false" ht="12.75" hidden="false" customHeight="false" outlineLevel="0" collapsed="false">
      <c r="A1016" s="2"/>
      <c r="G1016" s="2"/>
    </row>
    <row r="1017" customFormat="false" ht="12.75" hidden="false" customHeight="false" outlineLevel="0" collapsed="false">
      <c r="A1017" s="2"/>
      <c r="G1017" s="2"/>
    </row>
    <row r="1018" customFormat="false" ht="12.75" hidden="false" customHeight="false" outlineLevel="0" collapsed="false">
      <c r="A1018" s="2"/>
      <c r="G1018" s="2"/>
    </row>
    <row r="1019" customFormat="false" ht="12.75" hidden="false" customHeight="false" outlineLevel="0" collapsed="false">
      <c r="A1019" s="2"/>
      <c r="G1019" s="2"/>
    </row>
    <row r="1020" customFormat="false" ht="12.75" hidden="false" customHeight="false" outlineLevel="0" collapsed="false">
      <c r="A1020" s="2"/>
      <c r="G1020" s="2"/>
    </row>
    <row r="1021" customFormat="false" ht="12.75" hidden="false" customHeight="false" outlineLevel="0" collapsed="false">
      <c r="A1021" s="2"/>
      <c r="G10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21"/>
  <sheetViews>
    <sheetView showFormulas="false" showGridLines="true" showRowColHeaders="true" showZeros="true" rightToLeft="false" tabSelected="true" showOutlineSymbols="true" defaultGridColor="true" view="normal" topLeftCell="A1" colorId="64" zoomScale="74" zoomScaleNormal="74" zoomScalePageLayoutView="100" workbookViewId="0">
      <pane xSplit="1" ySplit="0" topLeftCell="B1" activePane="topRight" state="frozen"/>
      <selection pane="topLeft" activeCell="A1" activeCellId="0" sqref="A1"/>
      <selection pane="topRight" activeCell="M28" activeCellId="0" sqref="M28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13.22"/>
    <col collapsed="false" customWidth="true" hidden="false" outlineLevel="0" max="2" min="2" style="1" width="14.21"/>
    <col collapsed="false" customWidth="true" hidden="false" outlineLevel="0" max="3" min="3" style="1" width="10.66"/>
    <col collapsed="false" customWidth="true" hidden="false" outlineLevel="0" max="4" min="4" style="1" width="9.88"/>
    <col collapsed="false" customWidth="true" hidden="false" outlineLevel="0" max="5" min="5" style="1" width="10"/>
    <col collapsed="false" customWidth="true" hidden="false" outlineLevel="0" max="6" min="6" style="1" width="11.33"/>
    <col collapsed="false" customWidth="true" hidden="false" outlineLevel="0" max="7" min="7" style="1" width="9"/>
    <col collapsed="false" customWidth="true" hidden="false" outlineLevel="0" max="11" min="11" style="1" width="22.56"/>
    <col collapsed="false" customWidth="true" hidden="false" outlineLevel="0" max="12" min="12" style="1" width="18.6"/>
    <col collapsed="false" customWidth="true" hidden="false" outlineLevel="0" max="13" min="13" style="1" width="21.38"/>
    <col collapsed="false" customWidth="true" hidden="false" outlineLevel="0" max="17" min="17" style="1" width="10.2"/>
    <col collapsed="false" customWidth="true" hidden="false" outlineLevel="0" max="18" min="18" style="1" width="12.56"/>
    <col collapsed="false" customWidth="true" hidden="false" outlineLevel="0" max="22" min="22" style="1" width="16.89"/>
    <col collapsed="false" customWidth="true" hidden="false" outlineLevel="0" max="24" min="23" style="1" width="15.44"/>
    <col collapsed="false" customWidth="true" hidden="false" outlineLevel="0" max="25" min="25" style="1" width="16.56"/>
    <col collapsed="false" customWidth="true" hidden="false" outlineLevel="0" max="26" min="26" style="1" width="15.44"/>
    <col collapsed="false" customWidth="true" hidden="false" outlineLevel="0" max="27" min="27" style="1" width="16.89"/>
    <col collapsed="false" customWidth="true" hidden="false" outlineLevel="0" max="28" min="28" style="1" width="17.56"/>
    <col collapsed="false" customWidth="true" hidden="false" outlineLevel="0" max="31" min="31" style="1" width="12.76"/>
  </cols>
  <sheetData>
    <row r="1" customFormat="false" ht="15.75" hidden="false" customHeight="false" outlineLevel="0" collapsed="false">
      <c r="A1" s="2" t="s">
        <v>0</v>
      </c>
      <c r="B1" s="2" t="s">
        <v>51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/>
      <c r="J1" s="3"/>
      <c r="K1" s="39" t="s">
        <v>52</v>
      </c>
      <c r="L1" s="2" t="s">
        <v>9</v>
      </c>
      <c r="M1" s="3" t="s">
        <v>10</v>
      </c>
      <c r="N1" s="2" t="s">
        <v>11</v>
      </c>
      <c r="O1" s="2" t="s">
        <v>12</v>
      </c>
      <c r="P1" s="4" t="s">
        <v>13</v>
      </c>
      <c r="Q1" s="3" t="s">
        <v>14</v>
      </c>
      <c r="V1" s="3"/>
      <c r="Y1" s="3"/>
      <c r="AB1" s="3"/>
    </row>
    <row r="2" customFormat="false" ht="15.75" hidden="false" customHeight="false" outlineLevel="0" collapsed="false">
      <c r="A2" s="6"/>
      <c r="G2" s="2"/>
      <c r="V2" s="2" t="s">
        <v>15</v>
      </c>
      <c r="AD2" s="2" t="s">
        <v>16</v>
      </c>
    </row>
    <row r="3" customFormat="false" ht="15.75" hidden="false" customHeight="true" outlineLevel="0" collapsed="false">
      <c r="A3" s="7" t="n">
        <v>45292</v>
      </c>
      <c r="B3" s="1" t="n">
        <v>130.3</v>
      </c>
      <c r="C3" s="9" t="n">
        <v>3811.1</v>
      </c>
      <c r="D3" s="9" t="n">
        <v>1703.3</v>
      </c>
      <c r="E3" s="10" t="n">
        <v>2737.25</v>
      </c>
      <c r="F3" s="9" t="n">
        <v>1013.05</v>
      </c>
      <c r="G3" s="11" t="n">
        <v>1430</v>
      </c>
      <c r="H3" s="12" t="n">
        <v>0.61355606</v>
      </c>
      <c r="I3" s="12"/>
      <c r="J3" s="12"/>
      <c r="K3" s="8"/>
      <c r="M3" s="10"/>
      <c r="P3" s="13"/>
      <c r="S3" s="9"/>
      <c r="V3" s="40" t="s">
        <v>51</v>
      </c>
      <c r="W3" s="14" t="s">
        <v>18</v>
      </c>
      <c r="X3" s="14" t="s">
        <v>19</v>
      </c>
      <c r="Y3" s="14" t="s">
        <v>20</v>
      </c>
      <c r="Z3" s="14" t="s">
        <v>21</v>
      </c>
      <c r="AA3" s="14" t="s">
        <v>6</v>
      </c>
      <c r="AB3" s="14" t="s">
        <v>22</v>
      </c>
      <c r="AD3" s="14" t="s">
        <v>23</v>
      </c>
      <c r="AE3" s="14"/>
      <c r="AF3" s="14"/>
      <c r="AG3" s="14"/>
      <c r="AH3" s="14"/>
      <c r="AI3" s="14"/>
      <c r="AJ3" s="14"/>
      <c r="AK3" s="14"/>
    </row>
    <row r="4" customFormat="false" ht="15.75" hidden="false" customHeight="true" outlineLevel="0" collapsed="false">
      <c r="A4" s="7" t="n">
        <v>45293</v>
      </c>
      <c r="B4" s="1" t="n">
        <v>130.55</v>
      </c>
      <c r="C4" s="9" t="n">
        <v>3783.2</v>
      </c>
      <c r="D4" s="9" t="n">
        <v>1656.2</v>
      </c>
      <c r="E4" s="10" t="n">
        <v>2722.3</v>
      </c>
      <c r="F4" s="9" t="n">
        <v>1021.7</v>
      </c>
      <c r="G4" s="11" t="n">
        <v>1427.5</v>
      </c>
      <c r="H4" s="12" t="n">
        <v>0.629683039</v>
      </c>
      <c r="I4" s="12"/>
      <c r="J4" s="12"/>
      <c r="K4" s="8" t="n">
        <f aca="false">((B4-B3)/B3)*100</f>
        <v>0.191864927091328</v>
      </c>
      <c r="L4" s="8" t="n">
        <f aca="false">((C4-C3)/C3)*100</f>
        <v>-0.73207210516649</v>
      </c>
      <c r="M4" s="8" t="n">
        <f aca="false">((D4-D3)/D3)*100</f>
        <v>-2.76522045441202</v>
      </c>
      <c r="N4" s="8" t="n">
        <f aca="false">((E4-E3)/E3)*100</f>
        <v>-0.546168599872128</v>
      </c>
      <c r="O4" s="8" t="n">
        <f aca="false">((F4-F3)/F3)*100</f>
        <v>0.853857164009683</v>
      </c>
      <c r="P4" s="8" t="n">
        <f aca="false">((G4-G3)/G3)*100</f>
        <v>-0.174825174825175</v>
      </c>
      <c r="Q4" s="8" t="n">
        <f aca="false">((H4-H3)/H3)*100</f>
        <v>2.62844425332545</v>
      </c>
      <c r="S4" s="9"/>
      <c r="U4" s="2" t="s">
        <v>24</v>
      </c>
      <c r="V4" s="15" t="n">
        <f aca="false">AVERAGE(K4:K251)</f>
        <v>0.0444820561787684</v>
      </c>
      <c r="W4" s="15" t="n">
        <f aca="false">AVERAGE(L4:L251)</f>
        <v>0.0376193007535395</v>
      </c>
      <c r="X4" s="15" t="n">
        <f aca="false">AVERAGE(M4:M251)</f>
        <v>0.248773609789107</v>
      </c>
      <c r="Y4" s="15" t="n">
        <f aca="false">AVERAGE(N4:N251)</f>
        <v>-0.0864962744983088</v>
      </c>
      <c r="Z4" s="15" t="n">
        <f aca="false">AVERAGE(O4:O251)</f>
        <v>0.192021829756698</v>
      </c>
      <c r="AA4" s="15" t="n">
        <f aca="false">AVERAGE(P4:P251)</f>
        <v>-0.0195404873572167</v>
      </c>
      <c r="AB4" s="15" t="n">
        <f aca="false">AVERAGE(Q4:Q251)</f>
        <v>0.679257716403149</v>
      </c>
      <c r="AD4" s="14"/>
      <c r="AE4" s="40" t="s">
        <v>51</v>
      </c>
      <c r="AF4" s="14" t="s">
        <v>18</v>
      </c>
      <c r="AG4" s="14" t="s">
        <v>19</v>
      </c>
      <c r="AH4" s="14" t="s">
        <v>20</v>
      </c>
      <c r="AI4" s="14" t="s">
        <v>21</v>
      </c>
      <c r="AJ4" s="14" t="s">
        <v>6</v>
      </c>
      <c r="AK4" s="14" t="s">
        <v>22</v>
      </c>
    </row>
    <row r="5" customFormat="false" ht="15.75" hidden="false" customHeight="true" outlineLevel="0" collapsed="false">
      <c r="A5" s="7" t="n">
        <v>45294</v>
      </c>
      <c r="B5" s="1" t="n">
        <v>132.7</v>
      </c>
      <c r="C5" s="9" t="n">
        <v>3691.75</v>
      </c>
      <c r="D5" s="9" t="n">
        <v>1655.25</v>
      </c>
      <c r="E5" s="10" t="n">
        <v>2663.5</v>
      </c>
      <c r="F5" s="9" t="n">
        <v>1035.2</v>
      </c>
      <c r="G5" s="11" t="n">
        <v>1427.5</v>
      </c>
      <c r="H5" s="12" t="n">
        <v>0.627885794</v>
      </c>
      <c r="I5" s="12"/>
      <c r="J5" s="12"/>
      <c r="K5" s="8" t="n">
        <f aca="false">((B5-B4)/B4)*100</f>
        <v>1.64687859057831</v>
      </c>
      <c r="L5" s="8" t="n">
        <f aca="false">((C5-C4)/C4)*100</f>
        <v>-2.41726580672446</v>
      </c>
      <c r="M5" s="8" t="n">
        <f aca="false">((D5-D4)/D4)*100</f>
        <v>-0.0573602221953898</v>
      </c>
      <c r="N5" s="8" t="n">
        <f aca="false">((E5-E4)/E4)*100</f>
        <v>-2.15993828747751</v>
      </c>
      <c r="O5" s="8" t="n">
        <f aca="false">((F5-F4)/F4)*100</f>
        <v>1.3213271997651</v>
      </c>
      <c r="P5" s="8" t="n">
        <f aca="false">((G5-G4)/G4)*100</f>
        <v>0</v>
      </c>
      <c r="Q5" s="8" t="n">
        <f aca="false">((H5-H4)/H4)*100</f>
        <v>-0.285420582846603</v>
      </c>
      <c r="S5" s="9"/>
      <c r="U5" s="2" t="s">
        <v>26</v>
      </c>
      <c r="V5" s="15" t="n">
        <f aca="false">VAR(K4:K251)</f>
        <v>5.1924340915544</v>
      </c>
      <c r="W5" s="15" t="n">
        <f aca="false">VAR(L4:L251)</f>
        <v>1.75038563656426</v>
      </c>
      <c r="X5" s="15" t="n">
        <f aca="false">VAR(M4:M251)</f>
        <v>3.89759773651262</v>
      </c>
      <c r="Y5" s="15" t="n">
        <f aca="false">VAR(N4:N251)</f>
        <v>1.41978890206463</v>
      </c>
      <c r="Z5" s="15" t="n">
        <f aca="false">VAR(O4:O251)</f>
        <v>2.1486475250213</v>
      </c>
      <c r="AA5" s="15" t="n">
        <f aca="false">VAR(P4:P251)</f>
        <v>1.24469054266428</v>
      </c>
      <c r="AB5" s="15" t="n">
        <f aca="false">VAR(Q4:Q251)</f>
        <v>43.8224343778993</v>
      </c>
      <c r="AD5" s="40" t="s">
        <v>51</v>
      </c>
      <c r="AE5" s="16" t="n">
        <f aca="false" t="array" ref="AE5:AK11">MMULT(TRANSPOSE(V10:AB258),V10:AB258)*252/247</f>
        <v>1308.49540977874</v>
      </c>
      <c r="AF5" s="14" t="n">
        <v>132.089722342061</v>
      </c>
      <c r="AG5" s="14" t="n">
        <v>349.020101153004</v>
      </c>
      <c r="AH5" s="14" t="n">
        <v>20.3580601472383</v>
      </c>
      <c r="AI5" s="14" t="n">
        <v>200.414029328902</v>
      </c>
      <c r="AJ5" s="14" t="n">
        <v>9.32647475548362</v>
      </c>
      <c r="AK5" s="14" t="n">
        <v>64.7932527859384</v>
      </c>
    </row>
    <row r="6" customFormat="false" ht="15.75" hidden="false" customHeight="true" outlineLevel="0" collapsed="false">
      <c r="A6" s="7" t="n">
        <v>45295</v>
      </c>
      <c r="B6" s="1" t="n">
        <v>131.2</v>
      </c>
      <c r="C6" s="9" t="n">
        <v>3666.8</v>
      </c>
      <c r="D6" s="9" t="n">
        <v>1641.7</v>
      </c>
      <c r="E6" s="10" t="n">
        <v>2711.65</v>
      </c>
      <c r="F6" s="9" t="n">
        <v>1047.9</v>
      </c>
      <c r="G6" s="11" t="n">
        <v>1432.5</v>
      </c>
      <c r="H6" s="12" t="n">
        <v>0.58242436</v>
      </c>
      <c r="I6" s="12"/>
      <c r="J6" s="12"/>
      <c r="K6" s="8" t="n">
        <f aca="false">((B6-B5)/B5)*100</f>
        <v>-1.13036925395629</v>
      </c>
      <c r="L6" s="8" t="n">
        <f aca="false">((C6-C5)/C5)*100</f>
        <v>-0.675831245344344</v>
      </c>
      <c r="M6" s="8" t="n">
        <f aca="false">((D6-D5)/D5)*100</f>
        <v>-0.818607461108591</v>
      </c>
      <c r="N6" s="8" t="n">
        <f aca="false">((E6-E5)/E5)*100</f>
        <v>1.80777172892811</v>
      </c>
      <c r="O6" s="8" t="n">
        <f aca="false">((F6-F5)/F5)*100</f>
        <v>1.22681607418857</v>
      </c>
      <c r="P6" s="8" t="n">
        <f aca="false">((G6-G5)/G5)*100</f>
        <v>0.350262697022767</v>
      </c>
      <c r="Q6" s="8" t="n">
        <f aca="false">((H6-H5)/H5)*100</f>
        <v>-7.24039856203532</v>
      </c>
      <c r="S6" s="9"/>
      <c r="U6" s="2" t="s">
        <v>27</v>
      </c>
      <c r="V6" s="9" t="n">
        <f aca="false">V4*365</f>
        <v>16.2359505052505</v>
      </c>
      <c r="W6" s="9" t="n">
        <f aca="false">W4*365</f>
        <v>13.7310447750419</v>
      </c>
      <c r="X6" s="9" t="n">
        <f aca="false">X4*365</f>
        <v>90.8023675730242</v>
      </c>
      <c r="Y6" s="9" t="n">
        <f aca="false">Y4*365</f>
        <v>-31.5711401918827</v>
      </c>
      <c r="Z6" s="9" t="n">
        <f aca="false">Z4*365</f>
        <v>70.0879678611947</v>
      </c>
      <c r="AA6" s="9" t="n">
        <f aca="false">AA4*365</f>
        <v>-7.1322778853841</v>
      </c>
      <c r="AB6" s="9" t="n">
        <f aca="false">AB4*365</f>
        <v>247.929066487149</v>
      </c>
      <c r="AD6" s="14" t="s">
        <v>18</v>
      </c>
      <c r="AE6" s="14" t="n">
        <v>132.089722342061</v>
      </c>
      <c r="AF6" s="16" t="n">
        <v>441.098624273994</v>
      </c>
      <c r="AG6" s="14" t="n">
        <v>140.253881335097</v>
      </c>
      <c r="AH6" s="14" t="n">
        <v>62.4299363915852</v>
      </c>
      <c r="AI6" s="14" t="n">
        <v>113.815169266538</v>
      </c>
      <c r="AJ6" s="14" t="n">
        <v>-5.62398315170554</v>
      </c>
      <c r="AK6" s="14" t="n">
        <v>83.9255090111846</v>
      </c>
    </row>
    <row r="7" customFormat="false" ht="15.75" hidden="false" customHeight="true" outlineLevel="0" collapsed="false">
      <c r="A7" s="7" t="n">
        <v>45296</v>
      </c>
      <c r="B7" s="1" t="n">
        <v>132.7</v>
      </c>
      <c r="C7" s="9" t="n">
        <v>3737.9</v>
      </c>
      <c r="D7" s="9" t="n">
        <v>1642</v>
      </c>
      <c r="E7" s="8" t="n">
        <v>2666.4</v>
      </c>
      <c r="F7" s="9" t="n">
        <v>1046.6</v>
      </c>
      <c r="G7" s="11" t="n">
        <v>1401.25</v>
      </c>
      <c r="H7" s="12" t="n">
        <v>0.587226239</v>
      </c>
      <c r="I7" s="12"/>
      <c r="J7" s="12"/>
      <c r="K7" s="8" t="n">
        <f aca="false">((B7-B6)/B6)*100</f>
        <v>1.14329268292683</v>
      </c>
      <c r="L7" s="8" t="n">
        <f aca="false">((C7-C6)/C6)*100</f>
        <v>1.93902039925821</v>
      </c>
      <c r="M7" s="8" t="n">
        <f aca="false">((D7-D6)/D6)*100</f>
        <v>0.0182737406347052</v>
      </c>
      <c r="N7" s="8" t="n">
        <f aca="false">((E7-E6)/E6)*100</f>
        <v>-1.66872568362436</v>
      </c>
      <c r="O7" s="8" t="n">
        <f aca="false">((F7-F6)/F6)*100</f>
        <v>-0.124057639087717</v>
      </c>
      <c r="P7" s="8" t="n">
        <f aca="false">((G7-G6)/G6)*100</f>
        <v>-2.18150087260035</v>
      </c>
      <c r="Q7" s="8" t="n">
        <f aca="false">((H7-H6)/H6)*100</f>
        <v>0.824463969879293</v>
      </c>
      <c r="S7" s="8"/>
      <c r="U7" s="2" t="s">
        <v>28</v>
      </c>
      <c r="V7" s="9" t="n">
        <f aca="false">V5*252</f>
        <v>1308.49339107171</v>
      </c>
      <c r="W7" s="9" t="n">
        <f aca="false">W5*252</f>
        <v>441.097180414193</v>
      </c>
      <c r="X7" s="9" t="n">
        <f aca="false">X5*252</f>
        <v>982.194629601181</v>
      </c>
      <c r="Y7" s="9" t="n">
        <f aca="false">Y5*252</f>
        <v>357.786803320286</v>
      </c>
      <c r="Z7" s="9" t="n">
        <f aca="false">Z5*252</f>
        <v>541.459176305368</v>
      </c>
      <c r="AA7" s="9" t="n">
        <f aca="false">AA5*252</f>
        <v>313.662016751398</v>
      </c>
      <c r="AB7" s="9" t="n">
        <f aca="false">AB5*252</f>
        <v>11043.2534632306</v>
      </c>
      <c r="AD7" s="14" t="s">
        <v>29</v>
      </c>
      <c r="AE7" s="14" t="n">
        <v>349.020101153004</v>
      </c>
      <c r="AF7" s="14" t="n">
        <v>140.253881335097</v>
      </c>
      <c r="AG7" s="16" t="n">
        <v>982.257770709884</v>
      </c>
      <c r="AH7" s="14" t="n">
        <v>147.088519803874</v>
      </c>
      <c r="AI7" s="14" t="n">
        <v>211.232567600503</v>
      </c>
      <c r="AJ7" s="14" t="n">
        <v>47.4921303004031</v>
      </c>
      <c r="AK7" s="14" t="n">
        <v>213.529172199307</v>
      </c>
    </row>
    <row r="8" customFormat="false" ht="15.75" hidden="false" customHeight="true" outlineLevel="0" collapsed="false">
      <c r="A8" s="7" t="n">
        <v>45299</v>
      </c>
      <c r="B8" s="1" t="n">
        <v>132.65</v>
      </c>
      <c r="C8" s="9" t="n">
        <v>3678.3</v>
      </c>
      <c r="D8" s="9" t="n">
        <v>1616.15</v>
      </c>
      <c r="E8" s="8" t="n">
        <v>2619.3</v>
      </c>
      <c r="F8" s="9" t="n">
        <v>1049.05</v>
      </c>
      <c r="G8" s="11" t="n">
        <v>1396.65</v>
      </c>
      <c r="H8" s="12" t="n">
        <v>0.551803968</v>
      </c>
      <c r="I8" s="12"/>
      <c r="J8" s="12"/>
      <c r="K8" s="8" t="n">
        <f aca="false">((B8-B7)/B7)*100</f>
        <v>-0.0376789751318636</v>
      </c>
      <c r="L8" s="8" t="n">
        <f aca="false">((C8-C7)/C7)*100</f>
        <v>-1.59447818293694</v>
      </c>
      <c r="M8" s="8" t="n">
        <f aca="false">((D8-D7)/D7)*100</f>
        <v>-1.57429963459196</v>
      </c>
      <c r="N8" s="8" t="n">
        <f aca="false">((E8-E7)/E7)*100</f>
        <v>-1.76642664266426</v>
      </c>
      <c r="O8" s="8" t="n">
        <f aca="false">((F8-F7)/F7)*100</f>
        <v>0.234091343397673</v>
      </c>
      <c r="P8" s="8" t="n">
        <f aca="false">((G8-G7)/G7)*100</f>
        <v>-0.328278322925952</v>
      </c>
      <c r="Q8" s="8" t="n">
        <f aca="false">((H8-H7)/H7)*100</f>
        <v>-6.03213355389592</v>
      </c>
      <c r="S8" s="8"/>
      <c r="V8" s="9" t="s">
        <v>30</v>
      </c>
      <c r="Y8" s="8"/>
      <c r="AB8" s="9"/>
      <c r="AD8" s="14" t="s">
        <v>20</v>
      </c>
      <c r="AE8" s="14" t="n">
        <v>20.3580601472383</v>
      </c>
      <c r="AF8" s="14" t="n">
        <v>62.4299363915852</v>
      </c>
      <c r="AG8" s="14" t="n">
        <v>147.088519803874</v>
      </c>
      <c r="AH8" s="16" t="n">
        <v>357.794436375292</v>
      </c>
      <c r="AI8" s="14" t="n">
        <v>53.7677406995053</v>
      </c>
      <c r="AJ8" s="14" t="n">
        <v>0.354945671117324</v>
      </c>
      <c r="AK8" s="14" t="n">
        <v>43.377633012189</v>
      </c>
    </row>
    <row r="9" customFormat="false" ht="15.75" hidden="false" customHeight="true" outlineLevel="0" collapsed="false">
      <c r="A9" s="7" t="n">
        <v>45300</v>
      </c>
      <c r="B9" s="1" t="n">
        <v>131.9</v>
      </c>
      <c r="C9" s="9" t="n">
        <v>3689.9</v>
      </c>
      <c r="D9" s="9" t="n">
        <v>1629.9</v>
      </c>
      <c r="E9" s="8" t="n">
        <v>2592.6</v>
      </c>
      <c r="F9" s="9" t="n">
        <v>1064.5</v>
      </c>
      <c r="G9" s="11" t="n">
        <v>1400</v>
      </c>
      <c r="H9" s="12" t="n">
        <v>0.577396001</v>
      </c>
      <c r="I9" s="12"/>
      <c r="J9" s="12"/>
      <c r="K9" s="8" t="n">
        <f aca="false">((B9-B8)/B8)*100</f>
        <v>-0.565397663022993</v>
      </c>
      <c r="L9" s="8" t="n">
        <f aca="false">((C9-C8)/C8)*100</f>
        <v>0.315363075333711</v>
      </c>
      <c r="M9" s="8" t="n">
        <f aca="false">((D9-D8)/D8)*100</f>
        <v>0.850787365034186</v>
      </c>
      <c r="N9" s="8" t="n">
        <f aca="false">((E9-E8)/E8)*100</f>
        <v>-1.01935631657314</v>
      </c>
      <c r="O9" s="8" t="n">
        <f aca="false">((F9-F8)/F8)*100</f>
        <v>1.47276106953911</v>
      </c>
      <c r="P9" s="8" t="n">
        <f aca="false">((G9-G8)/G8)*100</f>
        <v>0.239859664196464</v>
      </c>
      <c r="Q9" s="8" t="n">
        <f aca="false">((H9-H8)/H8)*100</f>
        <v>4.63788491640568</v>
      </c>
      <c r="S9" s="8"/>
      <c r="V9" s="40" t="s">
        <v>51</v>
      </c>
      <c r="W9" s="14" t="s">
        <v>18</v>
      </c>
      <c r="X9" s="14" t="s">
        <v>19</v>
      </c>
      <c r="Y9" s="14" t="s">
        <v>20</v>
      </c>
      <c r="Z9" s="14" t="s">
        <v>21</v>
      </c>
      <c r="AA9" s="14" t="s">
        <v>6</v>
      </c>
      <c r="AB9" s="14" t="s">
        <v>22</v>
      </c>
      <c r="AD9" s="14" t="s">
        <v>21</v>
      </c>
      <c r="AE9" s="14" t="n">
        <v>200.414029328902</v>
      </c>
      <c r="AF9" s="14" t="n">
        <v>113.815169266538</v>
      </c>
      <c r="AG9" s="14" t="n">
        <v>211.232567600503</v>
      </c>
      <c r="AH9" s="14" t="n">
        <v>53.7677406995053</v>
      </c>
      <c r="AI9" s="16" t="n">
        <v>541.496795092988</v>
      </c>
      <c r="AJ9" s="14" t="n">
        <v>37.5491287689836</v>
      </c>
      <c r="AK9" s="14" t="n">
        <v>79.0135608203778</v>
      </c>
    </row>
    <row r="10" customFormat="false" ht="15.75" hidden="false" customHeight="true" outlineLevel="0" collapsed="false">
      <c r="A10" s="7" t="n">
        <v>45301</v>
      </c>
      <c r="B10" s="1" t="n">
        <v>130.55</v>
      </c>
      <c r="C10" s="9" t="n">
        <v>3713.05</v>
      </c>
      <c r="D10" s="9" t="n">
        <v>1632.8</v>
      </c>
      <c r="E10" s="8" t="n">
        <v>2578.1</v>
      </c>
      <c r="F10" s="9" t="n">
        <v>1062.7</v>
      </c>
      <c r="G10" s="11" t="n">
        <v>1390</v>
      </c>
      <c r="H10" s="12" t="n">
        <v>0.566417707</v>
      </c>
      <c r="I10" s="12"/>
      <c r="J10" s="12"/>
      <c r="K10" s="8" t="n">
        <f aca="false">((B10-B9)/B9)*100</f>
        <v>-1.02350265352539</v>
      </c>
      <c r="L10" s="8" t="n">
        <f aca="false">((C10-C9)/C9)*100</f>
        <v>0.627388276105046</v>
      </c>
      <c r="M10" s="8" t="n">
        <f aca="false">((D10-D9)/D9)*100</f>
        <v>0.177925026075211</v>
      </c>
      <c r="N10" s="8" t="n">
        <f aca="false">((E10-E9)/E9)*100</f>
        <v>-0.559284116331096</v>
      </c>
      <c r="O10" s="8" t="n">
        <f aca="false">((F10-F9)/F9)*100</f>
        <v>-0.169093471113194</v>
      </c>
      <c r="P10" s="8" t="n">
        <f aca="false">((G10-G9)/G9)*100</f>
        <v>-0.714285714285714</v>
      </c>
      <c r="Q10" s="8" t="n">
        <f aca="false">((H10-H9)/H9)*100</f>
        <v>-1.90134569359443</v>
      </c>
      <c r="S10" s="8"/>
      <c r="V10" s="9" t="n">
        <f aca="false">K4-$V$4</f>
        <v>0.147382870912559</v>
      </c>
      <c r="W10" s="9" t="n">
        <f aca="false">L4-$W$4</f>
        <v>-0.769691405920029</v>
      </c>
      <c r="X10" s="9" t="n">
        <f aca="false">M4-$X$4</f>
        <v>-3.01399406420113</v>
      </c>
      <c r="Y10" s="9" t="n">
        <f aca="false">N4-$Y$4</f>
        <v>-0.459672325373819</v>
      </c>
      <c r="Z10" s="9" t="n">
        <f aca="false">O4-$Z$4</f>
        <v>0.661835334252985</v>
      </c>
      <c r="AA10" s="9" t="n">
        <f aca="false">P4-$AA$4</f>
        <v>-0.155284687467958</v>
      </c>
      <c r="AB10" s="9" t="n">
        <f aca="false">Q4-$AB$4</f>
        <v>1.9491865369223</v>
      </c>
      <c r="AD10" s="14" t="s">
        <v>6</v>
      </c>
      <c r="AE10" s="14" t="n">
        <v>9.32647475548362</v>
      </c>
      <c r="AF10" s="14" t="n">
        <v>-5.62398315170554</v>
      </c>
      <c r="AG10" s="14" t="n">
        <v>47.4921303004031</v>
      </c>
      <c r="AH10" s="14" t="n">
        <v>0.354945671117324</v>
      </c>
      <c r="AI10" s="14" t="n">
        <v>37.5491287689836</v>
      </c>
      <c r="AJ10" s="16" t="n">
        <v>313.66240631141</v>
      </c>
      <c r="AK10" s="14" t="n">
        <v>-140.075631119033</v>
      </c>
    </row>
    <row r="11" customFormat="false" ht="15.75" hidden="false" customHeight="true" outlineLevel="0" collapsed="false">
      <c r="A11" s="7" t="n">
        <v>45302</v>
      </c>
      <c r="B11" s="1" t="n">
        <v>133.25</v>
      </c>
      <c r="C11" s="9" t="n">
        <v>3735.55</v>
      </c>
      <c r="D11" s="9" t="n">
        <v>1628.65</v>
      </c>
      <c r="E11" s="8" t="n">
        <v>2557.2</v>
      </c>
      <c r="F11" s="9" t="n">
        <v>1062.85</v>
      </c>
      <c r="G11" s="11" t="n">
        <v>1415</v>
      </c>
      <c r="H11" s="12" t="n">
        <v>0.600349992</v>
      </c>
      <c r="I11" s="12"/>
      <c r="J11" s="12"/>
      <c r="K11" s="8" t="n">
        <f aca="false">((B11-B10)/B10)*100</f>
        <v>2.06817311374951</v>
      </c>
      <c r="L11" s="8" t="n">
        <f aca="false">((C11-C10)/C10)*100</f>
        <v>0.605970832603924</v>
      </c>
      <c r="M11" s="8" t="n">
        <f aca="false">((D11-D10)/D10)*100</f>
        <v>-0.254164625183725</v>
      </c>
      <c r="N11" s="8" t="n">
        <f aca="false">((E11-E10)/E10)*100</f>
        <v>-0.810674527753</v>
      </c>
      <c r="O11" s="8" t="n">
        <f aca="false">((F11-F10)/F10)*100</f>
        <v>0.0141149901194941</v>
      </c>
      <c r="P11" s="8" t="n">
        <f aca="false">((G11-G10)/G10)*100</f>
        <v>1.79856115107914</v>
      </c>
      <c r="Q11" s="8" t="n">
        <f aca="false">((H11-H10)/H10)*100</f>
        <v>5.99068224397865</v>
      </c>
      <c r="S11" s="8"/>
      <c r="V11" s="9" t="n">
        <f aca="false">K5-$V$4</f>
        <v>1.60239653439954</v>
      </c>
      <c r="W11" s="9" t="n">
        <f aca="false">L5-$W$4</f>
        <v>-2.454885107478</v>
      </c>
      <c r="X11" s="9" t="n">
        <f aca="false">M5-$X$4</f>
        <v>-0.306133831984497</v>
      </c>
      <c r="Y11" s="9" t="n">
        <f aca="false">N5-$Y$4</f>
        <v>-2.0734420129792</v>
      </c>
      <c r="Z11" s="9" t="n">
        <f aca="false">O5-$Z$4</f>
        <v>1.1293053700084</v>
      </c>
      <c r="AA11" s="9" t="n">
        <f aca="false">P5-$AA$4</f>
        <v>0.0195404873572167</v>
      </c>
      <c r="AB11" s="9" t="n">
        <f aca="false">Q5-$AB$4</f>
        <v>-0.964678299249752</v>
      </c>
      <c r="AD11" s="14" t="s">
        <v>22</v>
      </c>
      <c r="AE11" s="14" t="n">
        <v>64.7932527859384</v>
      </c>
      <c r="AF11" s="14" t="n">
        <v>83.9255090111846</v>
      </c>
      <c r="AG11" s="14" t="n">
        <v>213.529172199307</v>
      </c>
      <c r="AH11" s="14" t="n">
        <v>43.377633012189</v>
      </c>
      <c r="AI11" s="14" t="n">
        <v>79.0135608203778</v>
      </c>
      <c r="AJ11" s="14" t="n">
        <v>-140.075631119033</v>
      </c>
      <c r="AK11" s="16" t="n">
        <v>11043.7241941756</v>
      </c>
    </row>
    <row r="12" customFormat="false" ht="15.75" hidden="false" customHeight="true" outlineLevel="0" collapsed="false">
      <c r="A12" s="7" t="n">
        <v>45303</v>
      </c>
      <c r="B12" s="1" t="n">
        <v>135.3</v>
      </c>
      <c r="C12" s="9" t="n">
        <v>3882.8</v>
      </c>
      <c r="D12" s="9" t="n">
        <v>1624.45</v>
      </c>
      <c r="E12" s="8" t="n">
        <v>2549.6</v>
      </c>
      <c r="F12" s="9" t="n">
        <v>1076.35</v>
      </c>
      <c r="G12" s="11" t="n">
        <v>1393.35</v>
      </c>
      <c r="H12" s="12" t="n">
        <v>0.60148264</v>
      </c>
      <c r="I12" s="12"/>
      <c r="J12" s="12"/>
      <c r="K12" s="8" t="n">
        <f aca="false">((B12-B11)/B11)*100</f>
        <v>1.53846153846155</v>
      </c>
      <c r="L12" s="8" t="n">
        <f aca="false">((C12-C11)/C11)*100</f>
        <v>3.94185595160017</v>
      </c>
      <c r="M12" s="8" t="n">
        <f aca="false">((D12-D11)/D11)*100</f>
        <v>-0.25788229515243</v>
      </c>
      <c r="N12" s="8" t="n">
        <f aca="false">((E12-E11)/E11)*100</f>
        <v>-0.297200062568431</v>
      </c>
      <c r="O12" s="8" t="n">
        <f aca="false">((F12-F11)/F11)*100</f>
        <v>1.27016982641012</v>
      </c>
      <c r="P12" s="8" t="n">
        <f aca="false">((G12-G11)/G11)*100</f>
        <v>-1.53003533568905</v>
      </c>
      <c r="Q12" s="8" t="n">
        <f aca="false">((H12-H11)/H11)*100</f>
        <v>0.188664614823532</v>
      </c>
      <c r="S12" s="8"/>
      <c r="V12" s="9" t="n">
        <f aca="false">K6-$V$4</f>
        <v>-1.17485131013506</v>
      </c>
      <c r="W12" s="9" t="n">
        <f aca="false">L6-$W$4</f>
        <v>-0.713450546097884</v>
      </c>
      <c r="X12" s="9" t="n">
        <f aca="false">M6-$X$4</f>
        <v>-1.0673810708977</v>
      </c>
      <c r="Y12" s="9" t="n">
        <f aca="false">N6-$Y$4</f>
        <v>1.89426800342641</v>
      </c>
      <c r="Z12" s="9" t="n">
        <f aca="false">O6-$Z$4</f>
        <v>1.03479424443187</v>
      </c>
      <c r="AA12" s="9" t="n">
        <f aca="false">P6-$AA$4</f>
        <v>0.369803184379984</v>
      </c>
      <c r="AB12" s="9" t="n">
        <f aca="false">Q6-$AB$4</f>
        <v>-7.91965627843846</v>
      </c>
    </row>
    <row r="13" customFormat="false" ht="15.75" hidden="false" customHeight="true" outlineLevel="0" collapsed="false">
      <c r="A13" s="7" t="n">
        <v>45306</v>
      </c>
      <c r="B13" s="1" t="n">
        <v>137.65</v>
      </c>
      <c r="C13" s="9" t="n">
        <v>3903.8</v>
      </c>
      <c r="D13" s="9" t="n">
        <v>1635.55</v>
      </c>
      <c r="E13" s="8" t="n">
        <v>2547.55</v>
      </c>
      <c r="F13" s="9" t="n">
        <v>1102.4</v>
      </c>
      <c r="G13" s="11" t="n">
        <v>1390</v>
      </c>
      <c r="H13" s="12" t="n">
        <v>0.575712099</v>
      </c>
      <c r="I13" s="12"/>
      <c r="J13" s="12"/>
      <c r="K13" s="8" t="n">
        <f aca="false">((B13-B12)/B12)*100</f>
        <v>1.73688100517368</v>
      </c>
      <c r="L13" s="8" t="n">
        <f aca="false">((C13-C12)/C12)*100</f>
        <v>0.540846811579273</v>
      </c>
      <c r="M13" s="8" t="n">
        <f aca="false">((D13-D12)/D12)*100</f>
        <v>0.683308196620389</v>
      </c>
      <c r="N13" s="8" t="n">
        <f aca="false">((E13-E12)/E12)*100</f>
        <v>-0.0804047693755776</v>
      </c>
      <c r="O13" s="8" t="n">
        <f aca="false">((F13-F12)/F12)*100</f>
        <v>2.42021647233708</v>
      </c>
      <c r="P13" s="8" t="n">
        <f aca="false">((G13-G12)/G12)*100</f>
        <v>-0.240427746079586</v>
      </c>
      <c r="Q13" s="8" t="n">
        <f aca="false">((H13-H12)/H12)*100</f>
        <v>-4.28450287443042</v>
      </c>
      <c r="S13" s="8"/>
      <c r="V13" s="9" t="n">
        <f aca="false">K7-$V$4</f>
        <v>1.09881062674806</v>
      </c>
      <c r="W13" s="9" t="n">
        <f aca="false">L7-$W$4</f>
        <v>1.90140109850467</v>
      </c>
      <c r="X13" s="9" t="n">
        <f aca="false">M7-$X$4</f>
        <v>-0.230499869154402</v>
      </c>
      <c r="Y13" s="9" t="n">
        <f aca="false">N7-$Y$4</f>
        <v>-1.58222940912605</v>
      </c>
      <c r="Z13" s="9" t="n">
        <f aca="false">O7-$Z$4</f>
        <v>-0.316079468844414</v>
      </c>
      <c r="AA13" s="9" t="n">
        <f aca="false">P7-$AA$4</f>
        <v>-2.16196038524313</v>
      </c>
      <c r="AB13" s="9" t="n">
        <f aca="false">Q7-$AB$4</f>
        <v>0.145206253476144</v>
      </c>
      <c r="AD13" s="17" t="s">
        <v>31</v>
      </c>
    </row>
    <row r="14" customFormat="false" ht="15.75" hidden="false" customHeight="true" outlineLevel="0" collapsed="false">
      <c r="A14" s="7" t="n">
        <v>45307</v>
      </c>
      <c r="B14" s="1" t="n">
        <v>143.6</v>
      </c>
      <c r="C14" s="9" t="n">
        <v>3861.3</v>
      </c>
      <c r="D14" s="9" t="n">
        <v>1620.35</v>
      </c>
      <c r="E14" s="8" t="n">
        <v>2542.05</v>
      </c>
      <c r="F14" s="9" t="n">
        <v>1095.9</v>
      </c>
      <c r="G14" s="11" t="n">
        <v>1387.5</v>
      </c>
      <c r="H14" s="12" t="n">
        <v>0.576202703</v>
      </c>
      <c r="I14" s="12"/>
      <c r="J14" s="12"/>
      <c r="K14" s="8" t="n">
        <f aca="false">((B14-B13)/B13)*100</f>
        <v>4.32255721031601</v>
      </c>
      <c r="L14" s="8" t="n">
        <f aca="false">((C14-C13)/C13)*100</f>
        <v>-1.08868282186587</v>
      </c>
      <c r="M14" s="8" t="n">
        <f aca="false">((D14-D13)/D13)*100</f>
        <v>-0.929350982849809</v>
      </c>
      <c r="N14" s="8" t="n">
        <f aca="false">((E14-E13)/E13)*100</f>
        <v>-0.215893701791918</v>
      </c>
      <c r="O14" s="8" t="n">
        <f aca="false">((F14-F13)/F13)*100</f>
        <v>-0.589622641509434</v>
      </c>
      <c r="P14" s="8" t="n">
        <f aca="false">((G14-G13)/G13)*100</f>
        <v>-0.179856115107914</v>
      </c>
      <c r="Q14" s="8" t="n">
        <f aca="false">((H14-H13)/H13)*100</f>
        <v>0.0852168993585813</v>
      </c>
      <c r="S14" s="8"/>
      <c r="V14" s="9" t="n">
        <f aca="false">K8-$V$4</f>
        <v>-0.082161031310632</v>
      </c>
      <c r="W14" s="9" t="n">
        <f aca="false">L8-$W$4</f>
        <v>-1.63209748369048</v>
      </c>
      <c r="X14" s="9" t="n">
        <f aca="false">M8-$X$4</f>
        <v>-1.82307324438106</v>
      </c>
      <c r="Y14" s="9" t="n">
        <f aca="false">N8-$Y$4</f>
        <v>-1.67993036816595</v>
      </c>
      <c r="Z14" s="9" t="n">
        <f aca="false">O8-$Z$4</f>
        <v>0.0420695136409751</v>
      </c>
      <c r="AA14" s="9" t="n">
        <f aca="false">P8-$AA$4</f>
        <v>-0.308737835568736</v>
      </c>
      <c r="AB14" s="9" t="n">
        <f aca="false">Q8-$AB$4</f>
        <v>-6.71139127029907</v>
      </c>
      <c r="AD14" s="1" t="n">
        <v>0.67</v>
      </c>
      <c r="AE14" s="1" t="s">
        <v>32</v>
      </c>
    </row>
    <row r="15" customFormat="false" ht="15.75" hidden="false" customHeight="true" outlineLevel="0" collapsed="false">
      <c r="A15" s="7" t="n">
        <v>45308</v>
      </c>
      <c r="B15" s="1" t="n">
        <v>144.1</v>
      </c>
      <c r="C15" s="9" t="n">
        <v>3884.6</v>
      </c>
      <c r="D15" s="9" t="n">
        <v>1597.7</v>
      </c>
      <c r="E15" s="8" t="n">
        <v>2543.1</v>
      </c>
      <c r="F15" s="9" t="n">
        <v>1085.25</v>
      </c>
      <c r="G15" s="11" t="n">
        <v>1380</v>
      </c>
      <c r="H15" s="12" t="n">
        <v>0.575835845</v>
      </c>
      <c r="I15" s="12"/>
      <c r="J15" s="12"/>
      <c r="K15" s="8" t="n">
        <f aca="false">((B15-B14)/B14)*100</f>
        <v>0.348189415041783</v>
      </c>
      <c r="L15" s="8" t="n">
        <f aca="false">((C15-C14)/C14)*100</f>
        <v>0.603423717400868</v>
      </c>
      <c r="M15" s="8" t="n">
        <f aca="false">((D15-D14)/D14)*100</f>
        <v>-1.39784614435152</v>
      </c>
      <c r="N15" s="8" t="n">
        <f aca="false">((E15-E14)/E14)*100</f>
        <v>0.0413052457662016</v>
      </c>
      <c r="O15" s="8" t="n">
        <f aca="false">((F15-F14)/F14)*100</f>
        <v>-0.971803996715037</v>
      </c>
      <c r="P15" s="8" t="n">
        <f aca="false">((G15-G14)/G14)*100</f>
        <v>-0.540540540540541</v>
      </c>
      <c r="Q15" s="8" t="n">
        <f aca="false">((H15-H14)/H14)*100</f>
        <v>-0.063668219203065</v>
      </c>
      <c r="S15" s="8"/>
      <c r="V15" s="9" t="n">
        <f aca="false">K9-$V$4</f>
        <v>-0.609879719201761</v>
      </c>
      <c r="W15" s="9" t="n">
        <f aca="false">L9-$W$4</f>
        <v>0.277743774580172</v>
      </c>
      <c r="X15" s="9" t="n">
        <f aca="false">M9-$X$4</f>
        <v>0.602013755245079</v>
      </c>
      <c r="Y15" s="9" t="n">
        <f aca="false">N9-$Y$4</f>
        <v>-0.932860042074832</v>
      </c>
      <c r="Z15" s="9" t="n">
        <f aca="false">O9-$Z$4</f>
        <v>1.28073923978241</v>
      </c>
      <c r="AA15" s="9" t="n">
        <f aca="false">P9-$AA$4</f>
        <v>0.25940015155368</v>
      </c>
      <c r="AB15" s="9" t="n">
        <f aca="false">Q9-$AB$4</f>
        <v>3.95862720000253</v>
      </c>
    </row>
    <row r="16" customFormat="false" ht="15.75" hidden="false" customHeight="false" outlineLevel="0" collapsed="false">
      <c r="A16" s="7" t="n">
        <v>45309</v>
      </c>
      <c r="B16" s="1" t="n">
        <v>144.5</v>
      </c>
      <c r="C16" s="9" t="n">
        <v>3902.6</v>
      </c>
      <c r="D16" s="9" t="n">
        <v>1617.25</v>
      </c>
      <c r="E16" s="8" t="n">
        <v>2502</v>
      </c>
      <c r="F16" s="9" t="n">
        <v>1087.05</v>
      </c>
      <c r="G16" s="11" t="n">
        <v>1382.5</v>
      </c>
      <c r="H16" s="12" t="n">
        <v>0.567900407</v>
      </c>
      <c r="I16" s="12"/>
      <c r="J16" s="12"/>
      <c r="K16" s="8" t="n">
        <f aca="false">((B16-B15)/B15)*100</f>
        <v>0.277585010409442</v>
      </c>
      <c r="L16" s="8" t="n">
        <f aca="false">((C16-C15)/C15)*100</f>
        <v>0.463368171755136</v>
      </c>
      <c r="M16" s="8" t="n">
        <f aca="false">((D16-D15)/D15)*100</f>
        <v>1.22363397383739</v>
      </c>
      <c r="N16" s="8" t="n">
        <f aca="false">((E16-E15)/E15)*100</f>
        <v>-1.6161377845936</v>
      </c>
      <c r="O16" s="8" t="n">
        <f aca="false">((F16-F15)/F15)*100</f>
        <v>0.165860400829298</v>
      </c>
      <c r="P16" s="8" t="n">
        <f aca="false">((G16-G15)/G15)*100</f>
        <v>0.181159420289855</v>
      </c>
      <c r="Q16" s="8" t="n">
        <f aca="false">((H16-H15)/H15)*100</f>
        <v>-1.37807294716083</v>
      </c>
      <c r="S16" s="8"/>
      <c r="V16" s="9" t="n">
        <f aca="false">K10-$V$4</f>
        <v>-1.06798470970416</v>
      </c>
      <c r="W16" s="9" t="n">
        <f aca="false">L10-$W$4</f>
        <v>0.589768975351506</v>
      </c>
      <c r="X16" s="9" t="n">
        <f aca="false">M10-$X$4</f>
        <v>-0.0708485837138963</v>
      </c>
      <c r="Y16" s="9" t="n">
        <f aca="false">N10-$Y$4</f>
        <v>-0.472787841832787</v>
      </c>
      <c r="Z16" s="9" t="n">
        <f aca="false">O10-$Z$4</f>
        <v>-0.361115300869892</v>
      </c>
      <c r="AA16" s="9" t="n">
        <f aca="false">P10-$AA$4</f>
        <v>-0.694745226928498</v>
      </c>
      <c r="AB16" s="9" t="n">
        <f aca="false">Q10-$AB$4</f>
        <v>-2.58060340999758</v>
      </c>
      <c r="AD16" s="1" t="s">
        <v>33</v>
      </c>
    </row>
    <row r="17" customFormat="false" ht="15.75" hidden="false" customHeight="false" outlineLevel="0" collapsed="false">
      <c r="A17" s="7" t="n">
        <v>45310</v>
      </c>
      <c r="B17" s="1" t="n">
        <v>148.65</v>
      </c>
      <c r="C17" s="9" t="n">
        <v>3943.05</v>
      </c>
      <c r="D17" s="9" t="n">
        <v>1655.55</v>
      </c>
      <c r="E17" s="8" t="n">
        <v>2514.15</v>
      </c>
      <c r="F17" s="9" t="n">
        <v>1125</v>
      </c>
      <c r="G17" s="11" t="n">
        <v>1395</v>
      </c>
      <c r="H17" s="12" t="n">
        <v>0.551654579</v>
      </c>
      <c r="I17" s="12"/>
      <c r="J17" s="12"/>
      <c r="K17" s="8" t="n">
        <f aca="false">((B17-B16)/B16)*100</f>
        <v>2.8719723183391</v>
      </c>
      <c r="L17" s="8" t="n">
        <f aca="false">((C17-C16)/C16)*100</f>
        <v>1.03648849484959</v>
      </c>
      <c r="M17" s="8" t="n">
        <f aca="false">((D17-D16)/D16)*100</f>
        <v>2.36821765342402</v>
      </c>
      <c r="N17" s="8" t="n">
        <f aca="false">((E17-E16)/E16)*100</f>
        <v>0.485611510791371</v>
      </c>
      <c r="O17" s="8" t="n">
        <f aca="false">((F17-F16)/F16)*100</f>
        <v>3.49109976542018</v>
      </c>
      <c r="P17" s="8" t="n">
        <f aca="false">((G17-G16)/G16)*100</f>
        <v>0.904159132007233</v>
      </c>
      <c r="Q17" s="8" t="n">
        <f aca="false">((H17-H16)/H16)*100</f>
        <v>-2.86068257739424</v>
      </c>
      <c r="S17" s="8"/>
      <c r="V17" s="9" t="n">
        <f aca="false">K11-$V$4</f>
        <v>2.02369105757074</v>
      </c>
      <c r="W17" s="9" t="n">
        <f aca="false">L11-$W$4</f>
        <v>0.568351531850385</v>
      </c>
      <c r="X17" s="9" t="n">
        <f aca="false">M11-$X$4</f>
        <v>-0.502938234972832</v>
      </c>
      <c r="Y17" s="9" t="n">
        <f aca="false">N11-$Y$4</f>
        <v>-0.724178253254691</v>
      </c>
      <c r="Z17" s="9" t="n">
        <f aca="false">O11-$Z$4</f>
        <v>-0.177906839637204</v>
      </c>
      <c r="AA17" s="9" t="n">
        <f aca="false">P11-$AA$4</f>
        <v>1.81810163843635</v>
      </c>
      <c r="AB17" s="9" t="n">
        <f aca="false">Q11-$AB$4</f>
        <v>5.3114245275755</v>
      </c>
      <c r="AD17" s="40" t="s">
        <v>51</v>
      </c>
      <c r="AE17" s="18" t="n">
        <f aca="false">V6</f>
        <v>16.2359505052505</v>
      </c>
    </row>
    <row r="18" customFormat="false" ht="15.75" hidden="false" customHeight="false" outlineLevel="0" collapsed="false">
      <c r="A18" s="7" t="n">
        <v>45311</v>
      </c>
      <c r="B18" s="1" t="n">
        <v>148.05</v>
      </c>
      <c r="C18" s="9" t="n">
        <v>3860.65</v>
      </c>
      <c r="D18" s="9" t="n">
        <v>1622.3</v>
      </c>
      <c r="E18" s="8" t="n">
        <v>2479.95</v>
      </c>
      <c r="F18" s="9" t="n">
        <v>1123.75</v>
      </c>
      <c r="G18" s="11" t="n">
        <v>1387.5</v>
      </c>
      <c r="H18" s="12" t="n">
        <v>0.543986175</v>
      </c>
      <c r="I18" s="12"/>
      <c r="J18" s="12"/>
      <c r="K18" s="8" t="n">
        <f aca="false">((B18-B17)/B17)*100</f>
        <v>-0.40363269424823</v>
      </c>
      <c r="L18" s="8" t="n">
        <f aca="false">((C18-C17)/C17)*100</f>
        <v>-2.08975285629145</v>
      </c>
      <c r="M18" s="8" t="n">
        <f aca="false">((D18-D17)/D17)*100</f>
        <v>-2.00839600132886</v>
      </c>
      <c r="N18" s="8" t="n">
        <f aca="false">((E18-E17)/E17)*100</f>
        <v>-1.36030069804905</v>
      </c>
      <c r="O18" s="8" t="n">
        <f aca="false">((F18-F17)/F17)*100</f>
        <v>-0.111111111111111</v>
      </c>
      <c r="P18" s="8" t="n">
        <f aca="false">((G18-G17)/G17)*100</f>
        <v>-0.537634408602151</v>
      </c>
      <c r="Q18" s="8" t="n">
        <f aca="false">((H18-H17)/H17)*100</f>
        <v>-1.39007347929582</v>
      </c>
      <c r="S18" s="8"/>
      <c r="V18" s="9" t="n">
        <f aca="false">K12-$V$4</f>
        <v>1.49397948228278</v>
      </c>
      <c r="W18" s="9" t="n">
        <f aca="false">L12-$W$4</f>
        <v>3.90423665084663</v>
      </c>
      <c r="X18" s="9" t="n">
        <f aca="false">M12-$X$4</f>
        <v>-0.506655904941537</v>
      </c>
      <c r="Y18" s="9" t="n">
        <f aca="false">N12-$Y$4</f>
        <v>-0.210703788070122</v>
      </c>
      <c r="Z18" s="9" t="n">
        <f aca="false">O12-$Z$4</f>
        <v>1.07814799665343</v>
      </c>
      <c r="AA18" s="9" t="n">
        <f aca="false">P12-$AA$4</f>
        <v>-1.51049484833184</v>
      </c>
      <c r="AB18" s="9" t="n">
        <f aca="false">Q12-$AB$4</f>
        <v>-0.490593101579617</v>
      </c>
      <c r="AD18" s="14" t="s">
        <v>18</v>
      </c>
      <c r="AE18" s="18" t="n">
        <f aca="false">W6</f>
        <v>13.7310447750419</v>
      </c>
    </row>
    <row r="19" customFormat="false" ht="15.75" hidden="false" customHeight="false" outlineLevel="0" collapsed="false">
      <c r="A19" s="7" t="n">
        <v>45314</v>
      </c>
      <c r="B19" s="1" t="n">
        <v>138.95</v>
      </c>
      <c r="C19" s="9" t="n">
        <v>3858.25</v>
      </c>
      <c r="D19" s="9" t="n">
        <v>1595.2</v>
      </c>
      <c r="E19" s="8" t="n">
        <v>2462.9</v>
      </c>
      <c r="F19" s="9" t="n">
        <v>1158</v>
      </c>
      <c r="G19" s="11" t="n">
        <v>1380</v>
      </c>
      <c r="H19" s="12" t="n">
        <v>0.525441419</v>
      </c>
      <c r="I19" s="12"/>
      <c r="J19" s="12"/>
      <c r="K19" s="8" t="n">
        <f aca="false">((B19-B18)/B18)*100</f>
        <v>-6.14657210401893</v>
      </c>
      <c r="L19" s="8" t="n">
        <f aca="false">((C19-C18)/C18)*100</f>
        <v>-0.062165697486177</v>
      </c>
      <c r="M19" s="8" t="n">
        <f aca="false">((D19-D18)/D18)*100</f>
        <v>-1.67046785428095</v>
      </c>
      <c r="N19" s="8" t="n">
        <f aca="false">((E19-E18)/E18)*100</f>
        <v>-0.687513861166545</v>
      </c>
      <c r="O19" s="8" t="n">
        <f aca="false">((F19-F18)/F18)*100</f>
        <v>3.04783092324805</v>
      </c>
      <c r="P19" s="8" t="n">
        <f aca="false">((G19-G18)/G18)*100</f>
        <v>-0.540540540540541</v>
      </c>
      <c r="Q19" s="8" t="n">
        <f aca="false">((H19-H18)/H18)*100</f>
        <v>-3.40904913622116</v>
      </c>
      <c r="S19" s="8"/>
      <c r="V19" s="9" t="n">
        <f aca="false">K13-$V$4</f>
        <v>1.69239894899492</v>
      </c>
      <c r="W19" s="9" t="n">
        <f aca="false">L13-$W$4</f>
        <v>0.503227510825733</v>
      </c>
      <c r="X19" s="9" t="n">
        <f aca="false">M13-$X$4</f>
        <v>0.434534586831282</v>
      </c>
      <c r="Y19" s="9" t="n">
        <f aca="false">N13-$Y$4</f>
        <v>0.00609150512273118</v>
      </c>
      <c r="Z19" s="9" t="n">
        <f aca="false">O13-$Z$4</f>
        <v>2.22819464258038</v>
      </c>
      <c r="AA19" s="9" t="n">
        <f aca="false">P13-$AA$4</f>
        <v>-0.220887258722369</v>
      </c>
      <c r="AB19" s="9" t="n">
        <f aca="false">Q13-$AB$4</f>
        <v>-4.96376059083357</v>
      </c>
      <c r="AD19" s="14" t="s">
        <v>29</v>
      </c>
      <c r="AE19" s="18" t="n">
        <f aca="false">X6</f>
        <v>90.8023675730242</v>
      </c>
    </row>
    <row r="20" customFormat="false" ht="15.75" hidden="false" customHeight="false" outlineLevel="0" collapsed="false">
      <c r="A20" s="7" t="n">
        <v>45315</v>
      </c>
      <c r="B20" s="1" t="n">
        <v>143.45</v>
      </c>
      <c r="C20" s="9" t="n">
        <v>3841.8</v>
      </c>
      <c r="D20" s="9" t="n">
        <v>1628.1</v>
      </c>
      <c r="E20" s="8" t="n">
        <v>2513.95</v>
      </c>
      <c r="F20" s="9" t="n">
        <v>1189.95</v>
      </c>
      <c r="G20" s="11" t="n">
        <v>1390</v>
      </c>
      <c r="H20" s="12" t="n">
        <v>0.517569794</v>
      </c>
      <c r="I20" s="12"/>
      <c r="J20" s="12"/>
      <c r="K20" s="8" t="n">
        <f aca="false">((B20-B19)/B19)*100</f>
        <v>3.23857502698813</v>
      </c>
      <c r="L20" s="8" t="n">
        <f aca="false">((C20-C19)/C19)*100</f>
        <v>-0.426359100628519</v>
      </c>
      <c r="M20" s="8" t="n">
        <f aca="false">((D20-D19)/D19)*100</f>
        <v>2.0624373119358</v>
      </c>
      <c r="N20" s="8" t="n">
        <f aca="false">((E20-E19)/E19)*100</f>
        <v>2.07275975476064</v>
      </c>
      <c r="O20" s="8" t="n">
        <f aca="false">((F20-F19)/F19)*100</f>
        <v>2.75906735751296</v>
      </c>
      <c r="P20" s="8" t="n">
        <f aca="false">((G20-G19)/G19)*100</f>
        <v>0.72463768115942</v>
      </c>
      <c r="Q20" s="8" t="n">
        <f aca="false">((H20-H19)/H19)*100</f>
        <v>-1.49809754529457</v>
      </c>
      <c r="S20" s="8"/>
      <c r="V20" s="9" t="n">
        <f aca="false">K14-$V$4</f>
        <v>4.27807515413724</v>
      </c>
      <c r="W20" s="9" t="n">
        <f aca="false">L14-$W$4</f>
        <v>-1.12630212261941</v>
      </c>
      <c r="X20" s="9" t="n">
        <f aca="false">M14-$X$4</f>
        <v>-1.17812459263892</v>
      </c>
      <c r="Y20" s="9" t="n">
        <f aca="false">N14-$Y$4</f>
        <v>-0.129397427293609</v>
      </c>
      <c r="Z20" s="9" t="n">
        <f aca="false">O14-$Z$4</f>
        <v>-0.781644471266132</v>
      </c>
      <c r="AA20" s="9" t="n">
        <f aca="false">P14-$AA$4</f>
        <v>-0.160315627750697</v>
      </c>
      <c r="AB20" s="9" t="n">
        <f aca="false">Q14-$AB$4</f>
        <v>-0.594040817044568</v>
      </c>
      <c r="AD20" s="14" t="s">
        <v>20</v>
      </c>
      <c r="AE20" s="18" t="n">
        <f aca="false">Y6</f>
        <v>-31.5711401918827</v>
      </c>
    </row>
    <row r="21" customFormat="false" ht="15.75" hidden="false" customHeight="false" outlineLevel="0" collapsed="false">
      <c r="A21" s="7" t="n">
        <v>45316</v>
      </c>
      <c r="B21" s="1" t="n">
        <v>143.7</v>
      </c>
      <c r="C21" s="9" t="n">
        <v>3810.3</v>
      </c>
      <c r="D21" s="9" t="n">
        <v>1635.5</v>
      </c>
      <c r="E21" s="8" t="n">
        <v>2482.15</v>
      </c>
      <c r="F21" s="9" t="n">
        <v>1160.55</v>
      </c>
      <c r="G21" s="11" t="n">
        <v>1398.35</v>
      </c>
      <c r="H21" s="12" t="n">
        <v>0.518363804</v>
      </c>
      <c r="I21" s="12"/>
      <c r="J21" s="12"/>
      <c r="K21" s="8" t="n">
        <f aca="false">((B21-B20)/B20)*100</f>
        <v>0.174276751481352</v>
      </c>
      <c r="L21" s="8" t="n">
        <f aca="false">((C21-C20)/C20)*100</f>
        <v>-0.819928158675621</v>
      </c>
      <c r="M21" s="8" t="n">
        <f aca="false">((D21-D20)/D20)*100</f>
        <v>0.454517535777906</v>
      </c>
      <c r="N21" s="8" t="n">
        <f aca="false">((E21-E20)/E20)*100</f>
        <v>-1.26494162572842</v>
      </c>
      <c r="O21" s="8" t="n">
        <f aca="false">((F21-F20)/F20)*100</f>
        <v>-2.47069204588429</v>
      </c>
      <c r="P21" s="8" t="n">
        <f aca="false">((G21-G20)/G20)*100</f>
        <v>0.600719424460425</v>
      </c>
      <c r="Q21" s="8" t="n">
        <f aca="false">((H21-H20)/H20)*100</f>
        <v>0.153411193853406</v>
      </c>
      <c r="S21" s="8"/>
      <c r="V21" s="9" t="n">
        <f aca="false">K15-$V$4</f>
        <v>0.303707358863014</v>
      </c>
      <c r="W21" s="9" t="n">
        <f aca="false">L15-$W$4</f>
        <v>0.565804416647329</v>
      </c>
      <c r="X21" s="9" t="n">
        <f aca="false">M15-$X$4</f>
        <v>-1.64661975414063</v>
      </c>
      <c r="Y21" s="9" t="n">
        <f aca="false">N15-$Y$4</f>
        <v>0.12780152026451</v>
      </c>
      <c r="Z21" s="9" t="n">
        <f aca="false">O15-$Z$4</f>
        <v>-1.16382582647173</v>
      </c>
      <c r="AA21" s="9" t="n">
        <f aca="false">P15-$AA$4</f>
        <v>-0.521000053183324</v>
      </c>
      <c r="AB21" s="9" t="n">
        <f aca="false">Q15-$AB$4</f>
        <v>-0.742925935606214</v>
      </c>
      <c r="AD21" s="14" t="s">
        <v>21</v>
      </c>
      <c r="AE21" s="18" t="n">
        <f aca="false">Z6</f>
        <v>70.0879678611947</v>
      </c>
    </row>
    <row r="22" customFormat="false" ht="15.75" hidden="false" customHeight="false" outlineLevel="0" collapsed="false">
      <c r="A22" s="7" t="n">
        <v>45320</v>
      </c>
      <c r="B22" s="1" t="n">
        <v>146.7</v>
      </c>
      <c r="C22" s="9" t="n">
        <v>3801</v>
      </c>
      <c r="D22" s="9" t="n">
        <v>1640</v>
      </c>
      <c r="E22" s="8" t="n">
        <v>2498.55</v>
      </c>
      <c r="F22" s="9" t="n">
        <v>1162.15</v>
      </c>
      <c r="G22" s="11" t="n">
        <v>1390</v>
      </c>
      <c r="H22" s="12" t="n">
        <v>0.524051455</v>
      </c>
      <c r="I22" s="12"/>
      <c r="J22" s="12"/>
      <c r="K22" s="8" t="n">
        <f aca="false">((B22-B21)/B21)*100</f>
        <v>2.08768267223382</v>
      </c>
      <c r="L22" s="8" t="n">
        <f aca="false">((C22-C21)/C21)*100</f>
        <v>-0.244075269663811</v>
      </c>
      <c r="M22" s="8" t="n">
        <f aca="false">((D22-D21)/D21)*100</f>
        <v>0.275145215530419</v>
      </c>
      <c r="N22" s="8" t="n">
        <f aca="false">((E22-E21)/E21)*100</f>
        <v>0.660717523115045</v>
      </c>
      <c r="O22" s="8" t="n">
        <f aca="false">((F22-F21)/F21)*100</f>
        <v>0.137865667140592</v>
      </c>
      <c r="P22" s="8" t="n">
        <f aca="false">((G22-G21)/G21)*100</f>
        <v>-0.597132334537127</v>
      </c>
      <c r="Q22" s="8" t="n">
        <f aca="false">((H22-H21)/H21)*100</f>
        <v>1.09723151117242</v>
      </c>
      <c r="S22" s="8"/>
      <c r="V22" s="9" t="n">
        <f aca="false">K16-$V$4</f>
        <v>0.233102954230673</v>
      </c>
      <c r="W22" s="9" t="n">
        <f aca="false">L16-$W$4</f>
        <v>0.425748871001596</v>
      </c>
      <c r="X22" s="9" t="n">
        <f aca="false">M16-$X$4</f>
        <v>0.974860364048281</v>
      </c>
      <c r="Y22" s="9" t="n">
        <f aca="false">N16-$Y$4</f>
        <v>-1.52964151009529</v>
      </c>
      <c r="Z22" s="9" t="n">
        <f aca="false">O16-$Z$4</f>
        <v>-0.0261614289274001</v>
      </c>
      <c r="AA22" s="9" t="n">
        <f aca="false">P16-$AA$4</f>
        <v>0.200699907647072</v>
      </c>
      <c r="AB22" s="9" t="n">
        <f aca="false">Q16-$AB$4</f>
        <v>-2.05733066356398</v>
      </c>
      <c r="AD22" s="14" t="s">
        <v>6</v>
      </c>
      <c r="AE22" s="18" t="n">
        <f aca="false">AA6</f>
        <v>-7.1322778853841</v>
      </c>
    </row>
    <row r="23" customFormat="false" ht="15.75" hidden="false" customHeight="false" outlineLevel="0" collapsed="false">
      <c r="A23" s="7" t="n">
        <v>45321</v>
      </c>
      <c r="B23" s="1" t="n">
        <v>147.7</v>
      </c>
      <c r="C23" s="9" t="n">
        <v>3800.55</v>
      </c>
      <c r="D23" s="9" t="n">
        <v>1620.35</v>
      </c>
      <c r="E23" s="8" t="n">
        <v>2492.05</v>
      </c>
      <c r="F23" s="9" t="n">
        <v>1158.65</v>
      </c>
      <c r="G23" s="11" t="n">
        <v>1382.5</v>
      </c>
      <c r="H23" s="12" t="n">
        <v>0.535289112</v>
      </c>
      <c r="I23" s="12"/>
      <c r="J23" s="12"/>
      <c r="K23" s="8" t="n">
        <f aca="false">((B23-B22)/B22)*100</f>
        <v>0.681663258350375</v>
      </c>
      <c r="L23" s="8" t="n">
        <f aca="false">((C23-C22)/C22)*100</f>
        <v>-0.0118389897395374</v>
      </c>
      <c r="M23" s="8" t="n">
        <f aca="false">((D23-D22)/D22)*100</f>
        <v>-1.19817073170732</v>
      </c>
      <c r="N23" s="8" t="n">
        <f aca="false">((E23-E22)/E22)*100</f>
        <v>-0.260150887514759</v>
      </c>
      <c r="O23" s="8" t="n">
        <f aca="false">((F23-F22)/F22)*100</f>
        <v>-0.301165942434281</v>
      </c>
      <c r="P23" s="8" t="n">
        <f aca="false">((G23-G22)/G22)*100</f>
        <v>-0.539568345323741</v>
      </c>
      <c r="Q23" s="8" t="n">
        <f aca="false">((H23-H22)/H22)*100</f>
        <v>2.14438045973938</v>
      </c>
      <c r="S23" s="8"/>
      <c r="V23" s="9" t="n">
        <f aca="false">K17-$V$4</f>
        <v>2.82749026216034</v>
      </c>
      <c r="W23" s="9" t="n">
        <f aca="false">L17-$W$4</f>
        <v>0.998869194096055</v>
      </c>
      <c r="X23" s="9" t="n">
        <f aca="false">M17-$X$4</f>
        <v>2.11944404363491</v>
      </c>
      <c r="Y23" s="9" t="n">
        <f aca="false">N17-$Y$4</f>
        <v>0.572107785289679</v>
      </c>
      <c r="Z23" s="9" t="n">
        <f aca="false">O17-$Z$4</f>
        <v>3.29907793566348</v>
      </c>
      <c r="AA23" s="9" t="n">
        <f aca="false">P17-$AA$4</f>
        <v>0.92369961936445</v>
      </c>
      <c r="AB23" s="9" t="n">
        <f aca="false">Q17-$AB$4</f>
        <v>-3.53994029379739</v>
      </c>
      <c r="AD23" s="14" t="s">
        <v>22</v>
      </c>
      <c r="AE23" s="18" t="n">
        <f aca="false">AB6</f>
        <v>247.929066487149</v>
      </c>
    </row>
    <row r="24" customFormat="false" ht="15.75" hidden="false" customHeight="false" outlineLevel="0" collapsed="false">
      <c r="A24" s="7" t="n">
        <v>45322</v>
      </c>
      <c r="B24" s="1" t="n">
        <v>146.95</v>
      </c>
      <c r="C24" s="9" t="n">
        <v>3815.95</v>
      </c>
      <c r="D24" s="9" t="n">
        <v>1651.55</v>
      </c>
      <c r="E24" s="8" t="n">
        <v>2506</v>
      </c>
      <c r="F24" s="9" t="n">
        <v>1170.7</v>
      </c>
      <c r="G24" s="11" t="n">
        <v>1387.5</v>
      </c>
      <c r="H24" s="12" t="n">
        <v>0.51091438</v>
      </c>
      <c r="I24" s="12"/>
      <c r="J24" s="12"/>
      <c r="K24" s="8" t="n">
        <f aca="false">((B24-B23)/B23)*100</f>
        <v>-0.50778605280975</v>
      </c>
      <c r="L24" s="8" t="n">
        <f aca="false">((C24-C23)/C23)*100</f>
        <v>0.405204509873561</v>
      </c>
      <c r="M24" s="8" t="n">
        <f aca="false">((D24-D23)/D23)*100</f>
        <v>1.92550992069615</v>
      </c>
      <c r="N24" s="8" t="n">
        <f aca="false">((E24-E23)/E23)*100</f>
        <v>0.559780100720283</v>
      </c>
      <c r="O24" s="8" t="n">
        <f aca="false">((F24-F23)/F23)*100</f>
        <v>1.04000345229361</v>
      </c>
      <c r="P24" s="8" t="n">
        <f aca="false">((G24-G23)/G23)*100</f>
        <v>0.361663652802893</v>
      </c>
      <c r="Q24" s="8" t="n">
        <f aca="false">((H24-H23)/H23)*100</f>
        <v>-4.55356394396454</v>
      </c>
      <c r="S24" s="8"/>
      <c r="V24" s="9" t="n">
        <f aca="false">K18-$V$4</f>
        <v>-0.448114750426999</v>
      </c>
      <c r="W24" s="9" t="n">
        <f aca="false">L18-$W$4</f>
        <v>-2.12737215704499</v>
      </c>
      <c r="X24" s="9" t="n">
        <f aca="false">M18-$X$4</f>
        <v>-2.25716961111797</v>
      </c>
      <c r="Y24" s="9" t="n">
        <f aca="false">N18-$Y$4</f>
        <v>-1.27380442355074</v>
      </c>
      <c r="Z24" s="9" t="n">
        <f aca="false">O18-$Z$4</f>
        <v>-0.303132940867809</v>
      </c>
      <c r="AA24" s="9" t="n">
        <f aca="false">P18-$AA$4</f>
        <v>-0.518093921244934</v>
      </c>
      <c r="AB24" s="9" t="n">
        <f aca="false">Q18-$AB$4</f>
        <v>-2.06933119569897</v>
      </c>
    </row>
    <row r="25" customFormat="false" ht="15.75" hidden="false" customHeight="false" outlineLevel="0" collapsed="false">
      <c r="A25" s="7" t="n">
        <v>45323</v>
      </c>
      <c r="B25" s="1" t="n">
        <v>149.75</v>
      </c>
      <c r="C25" s="9" t="n">
        <v>3854.15</v>
      </c>
      <c r="D25" s="9" t="n">
        <v>1651.15</v>
      </c>
      <c r="E25" s="8" t="n">
        <v>2467.8</v>
      </c>
      <c r="F25" s="9" t="n">
        <v>1151.2</v>
      </c>
      <c r="G25" s="11" t="n">
        <v>1385</v>
      </c>
      <c r="H25" s="12" t="n">
        <v>0.502797087</v>
      </c>
      <c r="I25" s="12"/>
      <c r="J25" s="12"/>
      <c r="K25" s="8" t="n">
        <f aca="false">((B25-B24)/B24)*100</f>
        <v>1.90541000340253</v>
      </c>
      <c r="L25" s="8" t="n">
        <f aca="false">((C25-C24)/C24)*100</f>
        <v>1.0010613346611</v>
      </c>
      <c r="M25" s="8" t="n">
        <f aca="false">((D25-D24)/D24)*100</f>
        <v>-0.0242196724289221</v>
      </c>
      <c r="N25" s="8" t="n">
        <f aca="false">((E25-E24)/E24)*100</f>
        <v>-1.52434158020749</v>
      </c>
      <c r="O25" s="8" t="n">
        <f aca="false">((F25-F24)/F24)*100</f>
        <v>-1.66567011189886</v>
      </c>
      <c r="P25" s="8" t="n">
        <f aca="false">((G25-G24)/G24)*100</f>
        <v>-0.18018018018018</v>
      </c>
      <c r="Q25" s="8" t="n">
        <f aca="false">((H25-H24)/H24)*100</f>
        <v>-1.5887775560359</v>
      </c>
      <c r="S25" s="8"/>
      <c r="V25" s="9" t="n">
        <f aca="false">K19-$V$4</f>
        <v>-6.1910541601977</v>
      </c>
      <c r="W25" s="9" t="n">
        <f aca="false">L19-$W$4</f>
        <v>-0.0997849982397164</v>
      </c>
      <c r="X25" s="9" t="n">
        <f aca="false">M19-$X$4</f>
        <v>-1.91924146407006</v>
      </c>
      <c r="Y25" s="9" t="n">
        <f aca="false">N19-$Y$4</f>
        <v>-0.601017586668236</v>
      </c>
      <c r="Z25" s="9" t="n">
        <f aca="false">O19-$Z$4</f>
        <v>2.85580909349136</v>
      </c>
      <c r="AA25" s="9" t="n">
        <f aca="false">P19-$AA$4</f>
        <v>-0.521000053183324</v>
      </c>
      <c r="AB25" s="9" t="n">
        <f aca="false">Q19-$AB$4</f>
        <v>-4.08830685262431</v>
      </c>
      <c r="AD25" s="19" t="s">
        <v>34</v>
      </c>
      <c r="AE25" s="20"/>
      <c r="AF25" s="20"/>
    </row>
    <row r="26" customFormat="false" ht="15.75" hidden="false" customHeight="false" outlineLevel="0" collapsed="false">
      <c r="A26" s="7" t="n">
        <v>45324</v>
      </c>
      <c r="B26" s="1" t="n">
        <v>162.9</v>
      </c>
      <c r="C26" s="9" t="n">
        <v>3966.3</v>
      </c>
      <c r="D26" s="9" t="n">
        <v>1660.75</v>
      </c>
      <c r="E26" s="8" t="n">
        <v>2481.4</v>
      </c>
      <c r="F26" s="9" t="n">
        <v>1150.8</v>
      </c>
      <c r="G26" s="11" t="n">
        <v>1380</v>
      </c>
      <c r="H26" s="12" t="n">
        <v>0.505953233</v>
      </c>
      <c r="I26" s="12"/>
      <c r="J26" s="12"/>
      <c r="K26" s="8" t="n">
        <f aca="false">((B26-B25)/B25)*100</f>
        <v>8.78130217028381</v>
      </c>
      <c r="L26" s="8" t="n">
        <f aca="false">((C26-C25)/C25)*100</f>
        <v>2.9098504209748</v>
      </c>
      <c r="M26" s="8" t="n">
        <f aca="false">((D26-D25)/D25)*100</f>
        <v>0.581412954607389</v>
      </c>
      <c r="N26" s="8" t="n">
        <f aca="false">((E26-E25)/E25)*100</f>
        <v>0.551098144095952</v>
      </c>
      <c r="O26" s="8" t="n">
        <f aca="false">((F26-F25)/F25)*100</f>
        <v>-0.0347463516330864</v>
      </c>
      <c r="P26" s="8" t="n">
        <f aca="false">((G26-G25)/G25)*100</f>
        <v>-0.36101083032491</v>
      </c>
      <c r="Q26" s="8" t="n">
        <f aca="false">((H26-H25)/H25)*100</f>
        <v>0.627717638308417</v>
      </c>
      <c r="S26" s="8"/>
      <c r="V26" s="9" t="n">
        <f aca="false">K20-$V$4</f>
        <v>3.19409297080936</v>
      </c>
      <c r="W26" s="9" t="n">
        <f aca="false">L20-$W$4</f>
        <v>-0.463978401382058</v>
      </c>
      <c r="X26" s="9" t="n">
        <f aca="false">M20-$X$4</f>
        <v>1.81366370214669</v>
      </c>
      <c r="Y26" s="9" t="n">
        <f aca="false">N20-$Y$4</f>
        <v>2.15925602925895</v>
      </c>
      <c r="Z26" s="9" t="n">
        <f aca="false">O20-$Z$4</f>
        <v>2.56704552775626</v>
      </c>
      <c r="AA26" s="9" t="n">
        <f aca="false">P20-$AA$4</f>
        <v>0.744178168516637</v>
      </c>
      <c r="AB26" s="9" t="n">
        <f aca="false">Q20-$AB$4</f>
        <v>-2.17735526169772</v>
      </c>
      <c r="AD26" s="41" t="s">
        <v>51</v>
      </c>
      <c r="AE26" s="19" t="n">
        <f aca="false">1/7</f>
        <v>0.142857142857143</v>
      </c>
      <c r="AF26" s="20"/>
    </row>
    <row r="27" customFormat="false" ht="15.75" hidden="false" customHeight="false" outlineLevel="0" collapsed="false">
      <c r="A27" s="7" t="n">
        <v>45327</v>
      </c>
      <c r="B27" s="1" t="n">
        <v>173.95</v>
      </c>
      <c r="C27" s="9" t="n">
        <v>3973.3</v>
      </c>
      <c r="D27" s="9" t="n">
        <v>1703.55</v>
      </c>
      <c r="E27" s="8" t="n">
        <v>2462.7</v>
      </c>
      <c r="F27" s="9" t="n">
        <v>1113.55</v>
      </c>
      <c r="G27" s="11" t="n">
        <v>1373.25</v>
      </c>
      <c r="H27" s="12" t="n">
        <v>0.503319923</v>
      </c>
      <c r="I27" s="12"/>
      <c r="J27" s="12"/>
      <c r="K27" s="8" t="n">
        <f aca="false">((B27-B26)/B26)*100</f>
        <v>6.78330263965622</v>
      </c>
      <c r="L27" s="8" t="n">
        <f aca="false">((C27-C26)/C26)*100</f>
        <v>0.176486902150619</v>
      </c>
      <c r="M27" s="8" t="n">
        <f aca="false">((D27-D26)/D26)*100</f>
        <v>2.57714887851874</v>
      </c>
      <c r="N27" s="8" t="n">
        <f aca="false">((E27-E26)/E26)*100</f>
        <v>-0.753606834851305</v>
      </c>
      <c r="O27" s="8" t="n">
        <f aca="false">((F27-F26)/F26)*100</f>
        <v>-3.23687869308307</v>
      </c>
      <c r="P27" s="8" t="n">
        <f aca="false">((G27-G26)/G26)*100</f>
        <v>-0.489130434782609</v>
      </c>
      <c r="Q27" s="8" t="n">
        <f aca="false">((H27-H26)/H26)*100</f>
        <v>-0.520465099982867</v>
      </c>
      <c r="S27" s="8"/>
      <c r="V27" s="9" t="n">
        <f aca="false">K21-$V$4</f>
        <v>0.129794695302584</v>
      </c>
      <c r="W27" s="9" t="n">
        <f aca="false">L21-$W$4</f>
        <v>-0.85754745942916</v>
      </c>
      <c r="X27" s="9" t="n">
        <f aca="false">M21-$X$4</f>
        <v>0.205743925988799</v>
      </c>
      <c r="Y27" s="9" t="n">
        <f aca="false">N21-$Y$4</f>
        <v>-1.17844535123012</v>
      </c>
      <c r="Z27" s="9" t="n">
        <f aca="false">O21-$Z$4</f>
        <v>-2.66271387564099</v>
      </c>
      <c r="AA27" s="9" t="n">
        <f aca="false">P21-$AA$4</f>
        <v>0.620259911817642</v>
      </c>
      <c r="AB27" s="9" t="n">
        <f aca="false">Q21-$AB$4</f>
        <v>-0.525846522549743</v>
      </c>
      <c r="AD27" s="16" t="s">
        <v>18</v>
      </c>
      <c r="AE27" s="19" t="n">
        <f aca="false">1/7</f>
        <v>0.142857142857143</v>
      </c>
      <c r="AF27" s="20"/>
    </row>
    <row r="28" customFormat="false" ht="15.75" hidden="false" customHeight="false" outlineLevel="0" collapsed="false">
      <c r="A28" s="7" t="n">
        <v>45328</v>
      </c>
      <c r="B28" s="1" t="n">
        <v>184.5</v>
      </c>
      <c r="C28" s="9" t="n">
        <v>4136</v>
      </c>
      <c r="D28" s="9" t="n">
        <v>1727.65</v>
      </c>
      <c r="E28" s="8" t="n">
        <v>2456.65</v>
      </c>
      <c r="F28" s="9" t="n">
        <v>1134.05</v>
      </c>
      <c r="G28" s="11" t="n">
        <v>1365.5</v>
      </c>
      <c r="H28" s="12" t="n">
        <v>0.506074661</v>
      </c>
      <c r="I28" s="12"/>
      <c r="J28" s="12"/>
      <c r="K28" s="8" t="n">
        <f aca="false">((B28-B27)/B27)*100</f>
        <v>6.06496119574591</v>
      </c>
      <c r="L28" s="8" t="n">
        <f aca="false">((C28-C27)/C27)*100</f>
        <v>4.09483301034404</v>
      </c>
      <c r="M28" s="8" t="n">
        <f aca="false">((D28-D27)/D27)*100</f>
        <v>1.41469284728949</v>
      </c>
      <c r="N28" s="8" t="n">
        <f aca="false">((E28-E27)/E27)*100</f>
        <v>-0.245665326673965</v>
      </c>
      <c r="O28" s="8" t="n">
        <f aca="false">((F28-F27)/F27)*100</f>
        <v>1.84095909478694</v>
      </c>
      <c r="P28" s="8" t="n">
        <f aca="false">((G28-G27)/G27)*100</f>
        <v>-0.564354633169488</v>
      </c>
      <c r="Q28" s="8" t="n">
        <f aca="false">((H28-H27)/H27)*100</f>
        <v>0.54731352249691</v>
      </c>
      <c r="S28" s="8"/>
      <c r="V28" s="9" t="n">
        <f aca="false">K22-$V$4</f>
        <v>2.04320061605505</v>
      </c>
      <c r="W28" s="9" t="n">
        <f aca="false">L22-$W$4</f>
        <v>-0.28169457041735</v>
      </c>
      <c r="X28" s="9" t="n">
        <f aca="false">M22-$X$4</f>
        <v>0.0263716057413116</v>
      </c>
      <c r="Y28" s="9" t="n">
        <f aca="false">N22-$Y$4</f>
        <v>0.747213797613354</v>
      </c>
      <c r="Z28" s="9" t="n">
        <f aca="false">O22-$Z$4</f>
        <v>-0.0541561626161063</v>
      </c>
      <c r="AA28" s="9" t="n">
        <f aca="false">P22-$AA$4</f>
        <v>-0.57759184717991</v>
      </c>
      <c r="AB28" s="9" t="n">
        <f aca="false">Q22-$AB$4</f>
        <v>0.417973794769266</v>
      </c>
      <c r="AD28" s="16" t="s">
        <v>29</v>
      </c>
      <c r="AE28" s="19" t="n">
        <f aca="false">1/7</f>
        <v>0.142857142857143</v>
      </c>
      <c r="AF28" s="20"/>
    </row>
    <row r="29" customFormat="false" ht="15.75" hidden="false" customHeight="false" outlineLevel="0" collapsed="false">
      <c r="A29" s="7" t="n">
        <v>45329</v>
      </c>
      <c r="B29" s="1" t="n">
        <v>186.45</v>
      </c>
      <c r="C29" s="9" t="n">
        <v>4083.4</v>
      </c>
      <c r="D29" s="9" t="n">
        <v>1721</v>
      </c>
      <c r="E29" s="8" t="n">
        <v>2499.6</v>
      </c>
      <c r="F29" s="9" t="n">
        <v>1134.3</v>
      </c>
      <c r="G29" s="11" t="n">
        <v>1375</v>
      </c>
      <c r="H29" s="12" t="n">
        <v>0.505109509</v>
      </c>
      <c r="I29" s="12"/>
      <c r="J29" s="12"/>
      <c r="K29" s="8" t="n">
        <f aca="false">((B29-B28)/B28)*100</f>
        <v>1.05691056910569</v>
      </c>
      <c r="L29" s="8" t="n">
        <f aca="false">((C29-C28)/C28)*100</f>
        <v>-1.27176015473888</v>
      </c>
      <c r="M29" s="8" t="n">
        <f aca="false">((D29-D28)/D28)*100</f>
        <v>-0.384915926258217</v>
      </c>
      <c r="N29" s="8" t="n">
        <f aca="false">((E29-E28)/E28)*100</f>
        <v>1.74831579590091</v>
      </c>
      <c r="O29" s="8" t="n">
        <f aca="false">((F29-F28)/F28)*100</f>
        <v>0.0220448833825669</v>
      </c>
      <c r="P29" s="8" t="n">
        <f aca="false">((G29-G28)/G28)*100</f>
        <v>0.695715854998169</v>
      </c>
      <c r="Q29" s="8" t="n">
        <f aca="false">((H29-H28)/H28)*100</f>
        <v>-0.1907133619559</v>
      </c>
      <c r="S29" s="8"/>
      <c r="V29" s="9" t="n">
        <f aca="false">K23-$V$4</f>
        <v>0.637181202171607</v>
      </c>
      <c r="W29" s="9" t="n">
        <f aca="false">L23-$W$4</f>
        <v>-0.0494582904930769</v>
      </c>
      <c r="X29" s="9" t="n">
        <f aca="false">M23-$X$4</f>
        <v>-1.44694434149643</v>
      </c>
      <c r="Y29" s="9" t="n">
        <f aca="false">N23-$Y$4</f>
        <v>-0.17365461301645</v>
      </c>
      <c r="Z29" s="9" t="n">
        <f aca="false">O23-$Z$4</f>
        <v>-0.493187772190979</v>
      </c>
      <c r="AA29" s="9" t="n">
        <f aca="false">P23-$AA$4</f>
        <v>-0.520027857966524</v>
      </c>
      <c r="AB29" s="9" t="n">
        <f aca="false">Q23-$AB$4</f>
        <v>1.46512274333623</v>
      </c>
      <c r="AD29" s="16" t="s">
        <v>20</v>
      </c>
      <c r="AE29" s="19" t="n">
        <f aca="false">1/7</f>
        <v>0.142857142857143</v>
      </c>
      <c r="AF29" s="20"/>
    </row>
    <row r="30" customFormat="false" ht="15.75" hidden="false" customHeight="false" outlineLevel="0" collapsed="false">
      <c r="A30" s="7" t="n">
        <v>45330</v>
      </c>
      <c r="B30" s="1" t="n">
        <v>192.4</v>
      </c>
      <c r="C30" s="9" t="n">
        <v>4134.1</v>
      </c>
      <c r="D30" s="9" t="n">
        <v>1685.9</v>
      </c>
      <c r="E30" s="8" t="n">
        <v>2423.05</v>
      </c>
      <c r="F30" s="9" t="n">
        <v>1142.15</v>
      </c>
      <c r="G30" s="11" t="n">
        <v>1369</v>
      </c>
      <c r="H30" s="12" t="n">
        <v>0.513397691</v>
      </c>
      <c r="I30" s="12"/>
      <c r="J30" s="12"/>
      <c r="K30" s="8" t="n">
        <f aca="false">((B30-B29)/B29)*100</f>
        <v>3.19120407615984</v>
      </c>
      <c r="L30" s="8" t="n">
        <f aca="false">((C30-C29)/C29)*100</f>
        <v>1.24161238183867</v>
      </c>
      <c r="M30" s="8" t="n">
        <f aca="false">((D30-D29)/D29)*100</f>
        <v>-2.03951191167925</v>
      </c>
      <c r="N30" s="8" t="n">
        <f aca="false">((E30-E29)/E29)*100</f>
        <v>-3.06248999839973</v>
      </c>
      <c r="O30" s="8" t="n">
        <f aca="false">((F30-F29)/F29)*100</f>
        <v>0.6920567751036</v>
      </c>
      <c r="P30" s="8" t="n">
        <f aca="false">((G30-G29)/G29)*100</f>
        <v>-0.436363636363636</v>
      </c>
      <c r="Q30" s="8" t="n">
        <f aca="false">((H30-H29)/H29)*100</f>
        <v>1.6408683369293</v>
      </c>
      <c r="S30" s="8"/>
      <c r="V30" s="9" t="n">
        <f aca="false">K24-$V$4</f>
        <v>-0.552268108988518</v>
      </c>
      <c r="W30" s="9" t="n">
        <f aca="false">L24-$W$4</f>
        <v>0.367585209120022</v>
      </c>
      <c r="X30" s="9" t="n">
        <f aca="false">M24-$X$4</f>
        <v>1.67673631090704</v>
      </c>
      <c r="Y30" s="9" t="n">
        <f aca="false">N24-$Y$4</f>
        <v>0.646276375218592</v>
      </c>
      <c r="Z30" s="9" t="n">
        <f aca="false">O24-$Z$4</f>
        <v>0.847981622536916</v>
      </c>
      <c r="AA30" s="9" t="n">
        <f aca="false">P24-$AA$4</f>
        <v>0.38120414016011</v>
      </c>
      <c r="AB30" s="9" t="n">
        <f aca="false">Q24-$AB$4</f>
        <v>-5.23282166036769</v>
      </c>
      <c r="AD30" s="16" t="s">
        <v>21</v>
      </c>
      <c r="AE30" s="19" t="n">
        <f aca="false">1/7</f>
        <v>0.142857142857143</v>
      </c>
      <c r="AF30" s="20"/>
    </row>
    <row r="31" customFormat="false" ht="15.75" hidden="false" customHeight="false" outlineLevel="0" collapsed="false">
      <c r="A31" s="7" t="n">
        <v>45331</v>
      </c>
      <c r="B31" s="1" t="n">
        <v>182.5</v>
      </c>
      <c r="C31" s="9" t="n">
        <v>4133.7</v>
      </c>
      <c r="D31" s="9" t="n">
        <v>1646.4</v>
      </c>
      <c r="E31" s="8" t="n">
        <v>2450.1</v>
      </c>
      <c r="F31" s="9" t="n">
        <v>1120.25</v>
      </c>
      <c r="G31" s="11" t="n">
        <v>1365.6</v>
      </c>
      <c r="H31" s="12" t="n">
        <v>0.514070497</v>
      </c>
      <c r="I31" s="12"/>
      <c r="J31" s="12"/>
      <c r="K31" s="8" t="n">
        <f aca="false">((B31-B30)/B30)*100</f>
        <v>-5.14553014553015</v>
      </c>
      <c r="L31" s="8" t="n">
        <f aca="false">((C31-C30)/C30)*100</f>
        <v>-0.00967562468253176</v>
      </c>
      <c r="M31" s="8" t="n">
        <f aca="false">((D31-D30)/D30)*100</f>
        <v>-2.34296221602705</v>
      </c>
      <c r="N31" s="8" t="n">
        <f aca="false">((E31-E30)/E30)*100</f>
        <v>1.11636161036709</v>
      </c>
      <c r="O31" s="8" t="n">
        <f aca="false">((F31-F30)/F30)*100</f>
        <v>-1.91743641378104</v>
      </c>
      <c r="P31" s="8" t="n">
        <f aca="false">((G31-G30)/G30)*100</f>
        <v>-0.248356464572687</v>
      </c>
      <c r="Q31" s="8" t="n">
        <f aca="false">((H31-H30)/H30)*100</f>
        <v>0.131049673926167</v>
      </c>
      <c r="S31" s="8"/>
      <c r="V31" s="9" t="n">
        <f aca="false">K25-$V$4</f>
        <v>1.86092794722376</v>
      </c>
      <c r="W31" s="9" t="n">
        <f aca="false">L25-$W$4</f>
        <v>0.963442033907561</v>
      </c>
      <c r="X31" s="9" t="n">
        <f aca="false">M25-$X$4</f>
        <v>-0.272993282218029</v>
      </c>
      <c r="Y31" s="9" t="n">
        <f aca="false">N25-$Y$4</f>
        <v>-1.43784530570919</v>
      </c>
      <c r="Z31" s="9" t="n">
        <f aca="false">O25-$Z$4</f>
        <v>-1.85769194165556</v>
      </c>
      <c r="AA31" s="9" t="n">
        <f aca="false">P25-$AA$4</f>
        <v>-0.160639692822963</v>
      </c>
      <c r="AB31" s="9" t="n">
        <f aca="false">Q25-$AB$4</f>
        <v>-2.26803527243905</v>
      </c>
      <c r="AD31" s="16" t="s">
        <v>6</v>
      </c>
      <c r="AE31" s="19" t="n">
        <f aca="false">1/7</f>
        <v>0.142857142857143</v>
      </c>
      <c r="AF31" s="20"/>
    </row>
    <row r="32" customFormat="false" ht="15.75" hidden="false" customHeight="false" outlineLevel="0" collapsed="false">
      <c r="A32" s="7" t="n">
        <v>45334</v>
      </c>
      <c r="B32" s="1" t="n">
        <v>175.4</v>
      </c>
      <c r="C32" s="9" t="n">
        <v>4120.7</v>
      </c>
      <c r="D32" s="9" t="n">
        <v>1660.45</v>
      </c>
      <c r="E32" s="8" t="n">
        <v>2459.05</v>
      </c>
      <c r="F32" s="9" t="n">
        <v>1118.7</v>
      </c>
      <c r="G32" s="11" t="n">
        <v>1376</v>
      </c>
      <c r="H32" s="12" t="n">
        <v>0.525879876</v>
      </c>
      <c r="I32" s="12"/>
      <c r="J32" s="12"/>
      <c r="K32" s="8" t="n">
        <f aca="false">((B32-B31)/B31)*100</f>
        <v>-3.89041095890411</v>
      </c>
      <c r="L32" s="8" t="n">
        <f aca="false">((C32-C31)/C31)*100</f>
        <v>-0.314488230882744</v>
      </c>
      <c r="M32" s="8" t="n">
        <f aca="false">((D32-D31)/D31)*100</f>
        <v>0.853377065111756</v>
      </c>
      <c r="N32" s="8" t="n">
        <f aca="false">((E32-E31)/E31)*100</f>
        <v>0.365291212603578</v>
      </c>
      <c r="O32" s="8" t="n">
        <f aca="false">((F32-F31)/F31)*100</f>
        <v>-0.13836197277393</v>
      </c>
      <c r="P32" s="8" t="n">
        <f aca="false">((G32-G31)/G31)*100</f>
        <v>0.761570005858238</v>
      </c>
      <c r="Q32" s="8" t="n">
        <f aca="false">((H32-H31)/H31)*100</f>
        <v>2.29722947901443</v>
      </c>
      <c r="S32" s="8"/>
      <c r="V32" s="9" t="n">
        <f aca="false">K26-$V$4</f>
        <v>8.73682011410504</v>
      </c>
      <c r="W32" s="9" t="n">
        <f aca="false">L26-$W$4</f>
        <v>2.87223112022126</v>
      </c>
      <c r="X32" s="9" t="n">
        <f aca="false">M26-$X$4</f>
        <v>0.332639344818282</v>
      </c>
      <c r="Y32" s="9" t="n">
        <f aca="false">N26-$Y$4</f>
        <v>0.637594418594261</v>
      </c>
      <c r="Z32" s="9" t="n">
        <f aca="false">O26-$Z$4</f>
        <v>-0.226768181389784</v>
      </c>
      <c r="AA32" s="9" t="n">
        <f aca="false">P26-$AA$4</f>
        <v>-0.341470342967693</v>
      </c>
      <c r="AB32" s="9" t="n">
        <f aca="false">Q26-$AB$4</f>
        <v>-0.0515400780947322</v>
      </c>
      <c r="AD32" s="16" t="s">
        <v>22</v>
      </c>
      <c r="AE32" s="19" t="n">
        <f aca="false">1/7</f>
        <v>0.142857142857143</v>
      </c>
      <c r="AF32" s="20"/>
    </row>
    <row r="33" customFormat="false" ht="15.75" hidden="false" customHeight="false" outlineLevel="0" collapsed="false">
      <c r="A33" s="7" t="n">
        <v>45335</v>
      </c>
      <c r="B33" s="1" t="n">
        <v>174.45</v>
      </c>
      <c r="C33" s="9" t="n">
        <v>4149.5</v>
      </c>
      <c r="D33" s="9" t="n">
        <v>1646.75</v>
      </c>
      <c r="E33" s="8" t="n">
        <v>2457.35</v>
      </c>
      <c r="F33" s="9" t="n">
        <v>1117.85</v>
      </c>
      <c r="G33" s="11" t="n">
        <v>1376.65</v>
      </c>
      <c r="H33" s="12" t="n">
        <v>0.532164296</v>
      </c>
      <c r="I33" s="12"/>
      <c r="J33" s="12"/>
      <c r="K33" s="8" t="n">
        <f aca="false">((B33-B32)/B32)*100</f>
        <v>-0.541619156214377</v>
      </c>
      <c r="L33" s="8" t="n">
        <f aca="false">((C33-C32)/C32)*100</f>
        <v>0.698910379304492</v>
      </c>
      <c r="M33" s="8" t="n">
        <f aca="false">((D33-D32)/D32)*100</f>
        <v>-0.825077539221298</v>
      </c>
      <c r="N33" s="8" t="n">
        <f aca="false">((E33-E32)/E32)*100</f>
        <v>-0.0691323885240346</v>
      </c>
      <c r="O33" s="8" t="n">
        <f aca="false">((F33-F32)/F32)*100</f>
        <v>-0.0759810494323891</v>
      </c>
      <c r="P33" s="8" t="n">
        <f aca="false">((G33-G32)/G32)*100</f>
        <v>0.0472383720930299</v>
      </c>
      <c r="Q33" s="8" t="n">
        <f aca="false">((H33-H32)/H32)*100</f>
        <v>1.19502956602965</v>
      </c>
      <c r="S33" s="8"/>
      <c r="V33" s="9" t="n">
        <f aca="false">K27-$V$4</f>
        <v>6.73882058347745</v>
      </c>
      <c r="W33" s="9" t="n">
        <f aca="false">L27-$W$4</f>
        <v>0.13886760139708</v>
      </c>
      <c r="X33" s="9" t="n">
        <f aca="false">M27-$X$4</f>
        <v>2.32837526872963</v>
      </c>
      <c r="Y33" s="9" t="n">
        <f aca="false">N27-$Y$4</f>
        <v>-0.667110560352996</v>
      </c>
      <c r="Z33" s="9" t="n">
        <f aca="false">O27-$Z$4</f>
        <v>-3.42890052283977</v>
      </c>
      <c r="AA33" s="9" t="n">
        <f aca="false">P27-$AA$4</f>
        <v>-0.469589947425392</v>
      </c>
      <c r="AB33" s="9" t="n">
        <f aca="false">Q27-$AB$4</f>
        <v>-1.19972281638602</v>
      </c>
      <c r="AD33" s="19" t="s">
        <v>35</v>
      </c>
      <c r="AE33" s="19" t="n">
        <v>1</v>
      </c>
      <c r="AF33" s="20"/>
    </row>
    <row r="34" customFormat="false" ht="15.75" hidden="false" customHeight="false" outlineLevel="0" collapsed="false">
      <c r="A34" s="7" t="n">
        <v>45336</v>
      </c>
      <c r="B34" s="1" t="n">
        <v>183.55</v>
      </c>
      <c r="C34" s="9" t="n">
        <v>4100.1</v>
      </c>
      <c r="D34" s="9" t="n">
        <v>1657.05</v>
      </c>
      <c r="E34" s="8" t="n">
        <v>2487</v>
      </c>
      <c r="F34" s="9" t="n">
        <v>1115.85</v>
      </c>
      <c r="G34" s="11" t="n">
        <v>1389.35</v>
      </c>
      <c r="H34" s="12" t="n">
        <v>0.525058032</v>
      </c>
      <c r="I34" s="12"/>
      <c r="J34" s="12"/>
      <c r="K34" s="8" t="n">
        <f aca="false">((B34-B33)/B33)*100</f>
        <v>5.21639438234453</v>
      </c>
      <c r="L34" s="8" t="n">
        <f aca="false">((C34-C33)/C33)*100</f>
        <v>-1.19050488010603</v>
      </c>
      <c r="M34" s="8" t="n">
        <f aca="false">((D34-D33)/D33)*100</f>
        <v>0.625474419310761</v>
      </c>
      <c r="N34" s="8" t="n">
        <f aca="false">((E34-E33)/E33)*100</f>
        <v>1.20658432864672</v>
      </c>
      <c r="O34" s="8" t="n">
        <f aca="false">((F34-F33)/F33)*100</f>
        <v>-0.178914881245248</v>
      </c>
      <c r="P34" s="8" t="n">
        <f aca="false">((G34-G33)/G33)*100</f>
        <v>0.92252932844222</v>
      </c>
      <c r="Q34" s="8" t="n">
        <f aca="false">((H34-H33)/H33)*100</f>
        <v>-1.33535151708111</v>
      </c>
      <c r="S34" s="8"/>
      <c r="V34" s="9" t="n">
        <f aca="false">K28-$V$4</f>
        <v>6.02047913956714</v>
      </c>
      <c r="W34" s="9" t="n">
        <f aca="false">L28-$W$4</f>
        <v>4.0572137095905</v>
      </c>
      <c r="X34" s="9" t="n">
        <f aca="false">M28-$X$4</f>
        <v>1.16591923750038</v>
      </c>
      <c r="Y34" s="9" t="n">
        <f aca="false">N28-$Y$4</f>
        <v>-0.159169052175656</v>
      </c>
      <c r="Z34" s="9" t="n">
        <f aca="false">O28-$Z$4</f>
        <v>1.64893726503025</v>
      </c>
      <c r="AA34" s="9" t="n">
        <f aca="false">P28-$AA$4</f>
        <v>-0.544814145812272</v>
      </c>
      <c r="AB34" s="9" t="n">
        <f aca="false">Q28-$AB$4</f>
        <v>-0.131944193906239</v>
      </c>
      <c r="AD34" s="20"/>
      <c r="AE34" s="20"/>
      <c r="AF34" s="20"/>
    </row>
    <row r="35" customFormat="false" ht="15.75" hidden="false" customHeight="false" outlineLevel="0" collapsed="false">
      <c r="A35" s="7" t="n">
        <v>45337</v>
      </c>
      <c r="B35" s="1" t="n">
        <v>189.85</v>
      </c>
      <c r="C35" s="9" t="n">
        <v>4103.2</v>
      </c>
      <c r="D35" s="9" t="n">
        <v>1765.05</v>
      </c>
      <c r="E35" s="8" t="n">
        <v>2453.55</v>
      </c>
      <c r="F35" s="9" t="n">
        <v>1120.7</v>
      </c>
      <c r="G35" s="11" t="n">
        <v>1387</v>
      </c>
      <c r="H35" s="12" t="n">
        <v>0.538165079</v>
      </c>
      <c r="I35" s="12"/>
      <c r="J35" s="12"/>
      <c r="K35" s="8" t="n">
        <f aca="false">((B35-B34)/B34)*100</f>
        <v>3.43230727322255</v>
      </c>
      <c r="L35" s="8" t="n">
        <f aca="false">((C35-C34)/C34)*100</f>
        <v>0.075607912002133</v>
      </c>
      <c r="M35" s="8" t="n">
        <f aca="false">((D35-D34)/D34)*100</f>
        <v>6.51760659002444</v>
      </c>
      <c r="N35" s="8" t="n">
        <f aca="false">((E35-E34)/E34)*100</f>
        <v>-1.3449939686369</v>
      </c>
      <c r="O35" s="8" t="n">
        <f aca="false">((F35-F34)/F34)*100</f>
        <v>0.434646233812801</v>
      </c>
      <c r="P35" s="8" t="n">
        <f aca="false">((G35-G34)/G34)*100</f>
        <v>-0.169143844243705</v>
      </c>
      <c r="Q35" s="8" t="n">
        <f aca="false">((H35-H34)/H34)*100</f>
        <v>2.49630444659115</v>
      </c>
      <c r="S35" s="8"/>
      <c r="V35" s="9" t="n">
        <f aca="false">K29-$V$4</f>
        <v>1.01242851292692</v>
      </c>
      <c r="W35" s="9" t="n">
        <f aca="false">L29-$W$4</f>
        <v>-1.30937945549242</v>
      </c>
      <c r="X35" s="9" t="n">
        <f aca="false">M29-$X$4</f>
        <v>-0.633689536047325</v>
      </c>
      <c r="Y35" s="9" t="n">
        <f aca="false">N29-$Y$4</f>
        <v>1.83481207039922</v>
      </c>
      <c r="Z35" s="9" t="n">
        <f aca="false">O29-$Z$4</f>
        <v>-0.169976946374131</v>
      </c>
      <c r="AA35" s="9" t="n">
        <f aca="false">P29-$AA$4</f>
        <v>0.715256342355386</v>
      </c>
      <c r="AB35" s="9" t="n">
        <f aca="false">Q29-$AB$4</f>
        <v>-0.869971078359049</v>
      </c>
      <c r="AD35" s="19" t="s">
        <v>36</v>
      </c>
      <c r="AE35" s="20" t="n">
        <f aca="false" t="array" ref="AE35:AE35">MMULT(TRANSPOSE(AE26:AE32),AE17:AE23)</f>
        <v>57.1547113034848</v>
      </c>
      <c r="AF35" s="20"/>
    </row>
    <row r="36" customFormat="false" ht="15.75" hidden="false" customHeight="false" outlineLevel="0" collapsed="false">
      <c r="A36" s="7" t="n">
        <v>45338</v>
      </c>
      <c r="B36" s="1" t="n">
        <v>187</v>
      </c>
      <c r="C36" s="9" t="n">
        <v>4128.3</v>
      </c>
      <c r="D36" s="9" t="n">
        <v>1835.55</v>
      </c>
      <c r="E36" s="8" t="n">
        <v>2487.65</v>
      </c>
      <c r="F36" s="9" t="n">
        <v>1120</v>
      </c>
      <c r="G36" s="11" t="n">
        <v>1377.65</v>
      </c>
      <c r="H36" s="12" t="n">
        <v>0.562670832</v>
      </c>
      <c r="I36" s="12"/>
      <c r="J36" s="12"/>
      <c r="K36" s="8" t="n">
        <f aca="false">((B36-B35)/B35)*100</f>
        <v>-1.50118514616802</v>
      </c>
      <c r="L36" s="8" t="n">
        <f aca="false">((C36-C35)/C35)*100</f>
        <v>0.611717683759026</v>
      </c>
      <c r="M36" s="8" t="n">
        <f aca="false">((D36-D35)/D35)*100</f>
        <v>3.99422112688026</v>
      </c>
      <c r="N36" s="8" t="n">
        <f aca="false">((E36-E35)/E35)*100</f>
        <v>1.38982290966151</v>
      </c>
      <c r="O36" s="8" t="n">
        <f aca="false">((F36-F35)/F35)*100</f>
        <v>-0.0624609618988173</v>
      </c>
      <c r="P36" s="8" t="n">
        <f aca="false">((G36-G35)/G35)*100</f>
        <v>-0.674116798846425</v>
      </c>
      <c r="Q36" s="8" t="n">
        <f aca="false">((H36-H35)/H35)*100</f>
        <v>4.55357546527095</v>
      </c>
      <c r="S36" s="8"/>
      <c r="V36" s="9" t="n">
        <f aca="false">K30-$V$4</f>
        <v>3.14672201998107</v>
      </c>
      <c r="W36" s="9" t="n">
        <f aca="false">L30-$W$4</f>
        <v>1.20399308108513</v>
      </c>
      <c r="X36" s="9" t="n">
        <f aca="false">M30-$X$4</f>
        <v>-2.28828552146836</v>
      </c>
      <c r="Y36" s="9" t="n">
        <f aca="false">N30-$Y$4</f>
        <v>-2.97599372390142</v>
      </c>
      <c r="Z36" s="9" t="n">
        <f aca="false">O30-$Z$4</f>
        <v>0.500034945346902</v>
      </c>
      <c r="AA36" s="9" t="n">
        <f aca="false">P30-$AA$4</f>
        <v>-0.41682314900642</v>
      </c>
      <c r="AB36" s="9" t="n">
        <f aca="false">Q30-$AB$4</f>
        <v>0.961610620526147</v>
      </c>
      <c r="AD36" s="19" t="s">
        <v>37</v>
      </c>
      <c r="AE36" s="20" t="e">
        <f aca="false" t="array" ref="AE36:AE36">SQRT(MMULT(MMULT(TRANSPOSE(AE26:AE32),_xlfn.anchorarray(AE5)),AE26:AE32))</f>
        <v>#NAME?</v>
      </c>
      <c r="AF36" s="20"/>
    </row>
    <row r="37" customFormat="false" ht="15.75" hidden="false" customHeight="false" outlineLevel="0" collapsed="false">
      <c r="A37" s="7" t="n">
        <v>45341</v>
      </c>
      <c r="B37" s="1" t="n">
        <v>188.5</v>
      </c>
      <c r="C37" s="9" t="n">
        <v>4103.8</v>
      </c>
      <c r="D37" s="9" t="n">
        <v>1848.55</v>
      </c>
      <c r="E37" s="8" t="n">
        <v>2513.25</v>
      </c>
      <c r="F37" s="9" t="n">
        <v>1142.2</v>
      </c>
      <c r="G37" s="11" t="n">
        <v>1380</v>
      </c>
      <c r="H37" s="12" t="n">
        <v>0.556998951</v>
      </c>
      <c r="I37" s="12"/>
      <c r="J37" s="12"/>
      <c r="K37" s="8" t="n">
        <f aca="false">((B37-B36)/B36)*100</f>
        <v>0.802139037433155</v>
      </c>
      <c r="L37" s="8" t="n">
        <f aca="false">((C37-C36)/C36)*100</f>
        <v>-0.593464622241601</v>
      </c>
      <c r="M37" s="8" t="n">
        <f aca="false">((D37-D36)/D36)*100</f>
        <v>0.708234589087739</v>
      </c>
      <c r="N37" s="8" t="n">
        <f aca="false">((E37-E36)/E36)*100</f>
        <v>1.02908367334633</v>
      </c>
      <c r="O37" s="8" t="n">
        <f aca="false">((F37-F36)/F36)*100</f>
        <v>1.98214285714286</v>
      </c>
      <c r="P37" s="8" t="n">
        <f aca="false">((G37-G36)/G36)*100</f>
        <v>0.170580336079549</v>
      </c>
      <c r="Q37" s="8" t="n">
        <f aca="false">((H37-H36)/H36)*100</f>
        <v>-1.00802826047326</v>
      </c>
      <c r="S37" s="8"/>
      <c r="V37" s="9" t="n">
        <f aca="false">K31-$V$4</f>
        <v>-5.19001220170892</v>
      </c>
      <c r="W37" s="9" t="n">
        <f aca="false">L31-$W$4</f>
        <v>-0.0472949254360712</v>
      </c>
      <c r="X37" s="9" t="n">
        <f aca="false">M31-$X$4</f>
        <v>-2.59173582581616</v>
      </c>
      <c r="Y37" s="9" t="n">
        <f aca="false">N31-$Y$4</f>
        <v>1.2028578848654</v>
      </c>
      <c r="Z37" s="9" t="n">
        <f aca="false">O31-$Z$4</f>
        <v>-2.10945824353773</v>
      </c>
      <c r="AA37" s="9" t="n">
        <f aca="false">P31-$AA$4</f>
        <v>-0.228815977215471</v>
      </c>
      <c r="AB37" s="9" t="n">
        <f aca="false">Q31-$AB$4</f>
        <v>-0.548208042476982</v>
      </c>
      <c r="AD37" s="19" t="s">
        <v>38</v>
      </c>
      <c r="AE37" s="20" t="e">
        <f aca="false">(AE35-AD14)/AE36</f>
        <v>#NAME?</v>
      </c>
      <c r="AF37" s="20"/>
    </row>
    <row r="38" customFormat="false" ht="15.75" hidden="false" customHeight="false" outlineLevel="0" collapsed="false">
      <c r="A38" s="7" t="n">
        <v>45342</v>
      </c>
      <c r="B38" s="1" t="n">
        <v>188.75</v>
      </c>
      <c r="C38" s="9" t="n">
        <v>4030.65</v>
      </c>
      <c r="D38" s="9" t="n">
        <v>1853.65</v>
      </c>
      <c r="E38" s="8" t="n">
        <v>2539.4</v>
      </c>
      <c r="F38" s="9" t="n">
        <v>1143.95</v>
      </c>
      <c r="G38" s="11" t="n">
        <v>1406.65</v>
      </c>
      <c r="H38" s="12" t="n">
        <v>0.562361025</v>
      </c>
      <c r="I38" s="12"/>
      <c r="J38" s="12"/>
      <c r="K38" s="8" t="n">
        <f aca="false">((B38-B37)/B37)*100</f>
        <v>0.13262599469496</v>
      </c>
      <c r="L38" s="8" t="n">
        <f aca="false">((C38-C37)/C37)*100</f>
        <v>-1.78249427360008</v>
      </c>
      <c r="M38" s="8" t="n">
        <f aca="false">((D38-D37)/D37)*100</f>
        <v>0.27589191528496</v>
      </c>
      <c r="N38" s="8" t="n">
        <f aca="false">((E38-E37)/E37)*100</f>
        <v>1.04048542723565</v>
      </c>
      <c r="O38" s="8" t="n">
        <f aca="false">((F38-F37)/F37)*100</f>
        <v>0.15321309753108</v>
      </c>
      <c r="P38" s="8" t="n">
        <f aca="false">((G38-G37)/G37)*100</f>
        <v>1.93115942028986</v>
      </c>
      <c r="Q38" s="8" t="n">
        <f aca="false">((H38-H37)/H37)*100</f>
        <v>0.962672190023567</v>
      </c>
      <c r="S38" s="8"/>
      <c r="V38" s="9" t="n">
        <f aca="false">K32-$V$4</f>
        <v>-3.93489301508287</v>
      </c>
      <c r="W38" s="9" t="n">
        <f aca="false">L32-$W$4</f>
        <v>-0.352107531636284</v>
      </c>
      <c r="X38" s="9" t="n">
        <f aca="false">M32-$X$4</f>
        <v>0.604603455322649</v>
      </c>
      <c r="Y38" s="9" t="n">
        <f aca="false">N32-$Y$4</f>
        <v>0.451787487101887</v>
      </c>
      <c r="Z38" s="9" t="n">
        <f aca="false">O32-$Z$4</f>
        <v>-0.330383802530628</v>
      </c>
      <c r="AA38" s="9" t="n">
        <f aca="false">P32-$AA$4</f>
        <v>0.781110493215454</v>
      </c>
      <c r="AB38" s="9" t="n">
        <f aca="false">Q32-$AB$4</f>
        <v>1.61797176261128</v>
      </c>
    </row>
    <row r="39" customFormat="false" ht="15.75" hidden="false" customHeight="false" outlineLevel="0" collapsed="false">
      <c r="A39" s="7" t="n">
        <v>45343</v>
      </c>
      <c r="B39" s="1" t="n">
        <v>182.3</v>
      </c>
      <c r="C39" s="9" t="n">
        <v>3991.5</v>
      </c>
      <c r="D39" s="9" t="n">
        <v>1859.65</v>
      </c>
      <c r="E39" s="8" t="n">
        <v>2543.6</v>
      </c>
      <c r="F39" s="9" t="n">
        <v>1139.9</v>
      </c>
      <c r="G39" s="11" t="n">
        <v>1427.65</v>
      </c>
      <c r="H39" s="12" t="n">
        <v>0.563291173</v>
      </c>
      <c r="I39" s="12"/>
      <c r="J39" s="12"/>
      <c r="K39" s="8" t="n">
        <f aca="false">((B39-B38)/B38)*100</f>
        <v>-3.41721854304635</v>
      </c>
      <c r="L39" s="8" t="n">
        <f aca="false">((C39-C38)/C38)*100</f>
        <v>-0.971307357374123</v>
      </c>
      <c r="M39" s="8" t="n">
        <f aca="false">((D39-D38)/D38)*100</f>
        <v>0.32368570118415</v>
      </c>
      <c r="N39" s="8" t="n">
        <f aca="false">((E39-E38)/E38)*100</f>
        <v>0.165393400015745</v>
      </c>
      <c r="O39" s="8" t="n">
        <f aca="false">((F39-F38)/F38)*100</f>
        <v>-0.354036452642157</v>
      </c>
      <c r="P39" s="8" t="n">
        <f aca="false">((G39-G38)/G38)*100</f>
        <v>1.49290868375218</v>
      </c>
      <c r="Q39" s="8" t="n">
        <f aca="false">((H39-H38)/H38)*100</f>
        <v>0.16540050939697</v>
      </c>
      <c r="S39" s="8"/>
      <c r="V39" s="9" t="n">
        <f aca="false">K33-$V$4</f>
        <v>-0.586101212393145</v>
      </c>
      <c r="W39" s="9" t="n">
        <f aca="false">L33-$W$4</f>
        <v>0.661291078550952</v>
      </c>
      <c r="X39" s="9" t="n">
        <f aca="false">M33-$X$4</f>
        <v>-1.07385114901041</v>
      </c>
      <c r="Y39" s="9" t="n">
        <f aca="false">N33-$Y$4</f>
        <v>0.0173638859742742</v>
      </c>
      <c r="Z39" s="9" t="n">
        <f aca="false">O33-$Z$4</f>
        <v>-0.268002879189087</v>
      </c>
      <c r="AA39" s="9" t="n">
        <f aca="false">P33-$AA$4</f>
        <v>0.0667788594502466</v>
      </c>
      <c r="AB39" s="9" t="n">
        <f aca="false">Q33-$AB$4</f>
        <v>0.515771849626503</v>
      </c>
      <c r="AD39" s="19" t="s">
        <v>39</v>
      </c>
      <c r="AE39" s="20"/>
      <c r="AF39" s="20"/>
    </row>
    <row r="40" customFormat="false" ht="15.75" hidden="false" customHeight="false" outlineLevel="0" collapsed="false">
      <c r="A40" s="7" t="n">
        <v>45344</v>
      </c>
      <c r="B40" s="1" t="n">
        <v>179.7</v>
      </c>
      <c r="C40" s="9" t="n">
        <v>4087.1</v>
      </c>
      <c r="D40" s="9" t="n">
        <v>1910.35</v>
      </c>
      <c r="E40" s="8" t="n">
        <v>2563.15</v>
      </c>
      <c r="F40" s="9" t="n">
        <v>1135.55</v>
      </c>
      <c r="G40" s="11" t="n">
        <v>1455.5</v>
      </c>
      <c r="H40" s="12" t="n">
        <v>0.549480998</v>
      </c>
      <c r="I40" s="12"/>
      <c r="J40" s="12"/>
      <c r="K40" s="8" t="n">
        <f aca="false">((B40-B39)/B39)*100</f>
        <v>-1.42622051563358</v>
      </c>
      <c r="L40" s="8" t="n">
        <f aca="false">((C40-C39)/C39)*100</f>
        <v>2.39508956532632</v>
      </c>
      <c r="M40" s="8" t="n">
        <f aca="false">((D40-D39)/D39)*100</f>
        <v>2.72631946871722</v>
      </c>
      <c r="N40" s="8" t="n">
        <f aca="false">((E40-E39)/E39)*100</f>
        <v>0.768595691146414</v>
      </c>
      <c r="O40" s="8" t="n">
        <f aca="false">((F40-F39)/F39)*100</f>
        <v>-0.381612422142305</v>
      </c>
      <c r="P40" s="8" t="n">
        <f aca="false">((G40-G39)/G39)*100</f>
        <v>1.95075823906419</v>
      </c>
      <c r="Q40" s="8" t="n">
        <f aca="false">((H40-H39)/H39)*100</f>
        <v>-2.45169384182768</v>
      </c>
      <c r="S40" s="8"/>
      <c r="V40" s="9" t="n">
        <f aca="false">K34-$V$4</f>
        <v>5.17191232616576</v>
      </c>
      <c r="W40" s="9" t="n">
        <f aca="false">L34-$W$4</f>
        <v>-1.22812418085957</v>
      </c>
      <c r="X40" s="9" t="n">
        <f aca="false">M34-$X$4</f>
        <v>0.376700809521654</v>
      </c>
      <c r="Y40" s="9" t="n">
        <f aca="false">N34-$Y$4</f>
        <v>1.29308060314503</v>
      </c>
      <c r="Z40" s="9" t="n">
        <f aca="false">O34-$Z$4</f>
        <v>-0.370936711001946</v>
      </c>
      <c r="AA40" s="9" t="n">
        <f aca="false">P34-$AA$4</f>
        <v>0.942069815799436</v>
      </c>
      <c r="AB40" s="9" t="n">
        <f aca="false">Q34-$AB$4</f>
        <v>-2.01460923348426</v>
      </c>
      <c r="AD40" s="41" t="s">
        <v>51</v>
      </c>
      <c r="AE40" s="19" t="n">
        <v>0</v>
      </c>
      <c r="AF40" s="20"/>
    </row>
    <row r="41" customFormat="false" ht="15.75" hidden="false" customHeight="false" outlineLevel="0" collapsed="false">
      <c r="A41" s="7" t="n">
        <v>45345</v>
      </c>
      <c r="B41" s="1" t="n">
        <v>175.85</v>
      </c>
      <c r="C41" s="9" t="n">
        <v>4052.1</v>
      </c>
      <c r="D41" s="9" t="n">
        <v>1929.95</v>
      </c>
      <c r="E41" s="8" t="n">
        <v>2579</v>
      </c>
      <c r="F41" s="9" t="n">
        <v>1125.75</v>
      </c>
      <c r="G41" s="11" t="n">
        <v>1453.6</v>
      </c>
      <c r="H41" s="12" t="n">
        <v>0.541190408</v>
      </c>
      <c r="I41" s="12"/>
      <c r="J41" s="12"/>
      <c r="K41" s="8" t="n">
        <f aca="false">((B41-B40)/B40)*100</f>
        <v>-2.14245965498052</v>
      </c>
      <c r="L41" s="8" t="n">
        <f aca="false">((C41-C40)/C40)*100</f>
        <v>-0.856352915269996</v>
      </c>
      <c r="M41" s="8" t="n">
        <f aca="false">((D41-D40)/D40)*100</f>
        <v>1.02599000183213</v>
      </c>
      <c r="N41" s="8" t="n">
        <f aca="false">((E41-E40)/E40)*100</f>
        <v>0.618379728068974</v>
      </c>
      <c r="O41" s="8" t="n">
        <f aca="false">((F41-F40)/F40)*100</f>
        <v>-0.863017920831311</v>
      </c>
      <c r="P41" s="8" t="n">
        <f aca="false">((G41-G40)/G40)*100</f>
        <v>-0.130539333562356</v>
      </c>
      <c r="Q41" s="8" t="n">
        <f aca="false">((H41-H40)/H40)*100</f>
        <v>-1.50880376758726</v>
      </c>
      <c r="S41" s="8"/>
      <c r="V41" s="9" t="n">
        <f aca="false">K35-$V$4</f>
        <v>3.38782521704378</v>
      </c>
      <c r="W41" s="9" t="n">
        <f aca="false">L35-$W$4</f>
        <v>0.0379886112485935</v>
      </c>
      <c r="X41" s="9" t="n">
        <f aca="false">M35-$X$4</f>
        <v>6.26883298023533</v>
      </c>
      <c r="Y41" s="9" t="n">
        <f aca="false">N35-$Y$4</f>
        <v>-1.2584976941386</v>
      </c>
      <c r="Z41" s="9" t="n">
        <f aca="false">O35-$Z$4</f>
        <v>0.242624404056103</v>
      </c>
      <c r="AA41" s="9" t="n">
        <f aca="false">P35-$AA$4</f>
        <v>-0.149603356886488</v>
      </c>
      <c r="AB41" s="9" t="n">
        <f aca="false">Q35-$AB$4</f>
        <v>1.817046730188</v>
      </c>
      <c r="AD41" s="16" t="s">
        <v>18</v>
      </c>
      <c r="AE41" s="19" t="n">
        <v>0</v>
      </c>
      <c r="AF41" s="20"/>
    </row>
    <row r="42" customFormat="false" ht="15.75" hidden="false" customHeight="false" outlineLevel="0" collapsed="false">
      <c r="A42" s="7" t="n">
        <v>45348</v>
      </c>
      <c r="B42" s="1" t="n">
        <v>177.5</v>
      </c>
      <c r="C42" s="9" t="n">
        <v>4001.05</v>
      </c>
      <c r="D42" s="9" t="n">
        <v>1929.8</v>
      </c>
      <c r="E42" s="8" t="n">
        <v>2583.9</v>
      </c>
      <c r="F42" s="9" t="n">
        <v>1110.05</v>
      </c>
      <c r="G42" s="11" t="n">
        <v>1445.6</v>
      </c>
      <c r="H42" s="12" t="n">
        <v>0.542607898</v>
      </c>
      <c r="I42" s="12"/>
      <c r="J42" s="12"/>
      <c r="K42" s="8" t="n">
        <f aca="false">((B42-B41)/B41)*100</f>
        <v>0.938299687233441</v>
      </c>
      <c r="L42" s="8" t="n">
        <f aca="false">((C42-C41)/C41)*100</f>
        <v>-1.2598405764912</v>
      </c>
      <c r="M42" s="8" t="n">
        <f aca="false">((D42-D41)/D41)*100</f>
        <v>-0.0077722220782969</v>
      </c>
      <c r="N42" s="8" t="n">
        <f aca="false">((E42-E41)/E41)*100</f>
        <v>0.189996122528115</v>
      </c>
      <c r="O42" s="8" t="n">
        <f aca="false">((F42-F41)/F41)*100</f>
        <v>-1.39462580501888</v>
      </c>
      <c r="P42" s="8" t="n">
        <f aca="false">((G42-G41)/G41)*100</f>
        <v>-0.550357732526142</v>
      </c>
      <c r="Q42" s="8" t="n">
        <f aca="false">((H42-H41)/H41)*100</f>
        <v>0.261920754515668</v>
      </c>
      <c r="S42" s="8"/>
      <c r="V42" s="9" t="n">
        <f aca="false">K36-$V$4</f>
        <v>-1.54566720234679</v>
      </c>
      <c r="W42" s="9" t="n">
        <f aca="false">L36-$W$4</f>
        <v>0.574098383005487</v>
      </c>
      <c r="X42" s="9" t="n">
        <f aca="false">M36-$X$4</f>
        <v>3.74544751709115</v>
      </c>
      <c r="Y42" s="9" t="n">
        <f aca="false">N36-$Y$4</f>
        <v>1.47631918415982</v>
      </c>
      <c r="Z42" s="9" t="n">
        <f aca="false">O36-$Z$4</f>
        <v>-0.254482791655515</v>
      </c>
      <c r="AA42" s="9" t="n">
        <f aca="false">P36-$AA$4</f>
        <v>-0.654576311489208</v>
      </c>
      <c r="AB42" s="9" t="n">
        <f aca="false">Q36-$AB$4</f>
        <v>3.8743177488678</v>
      </c>
      <c r="AD42" s="16" t="s">
        <v>29</v>
      </c>
      <c r="AE42" s="19" t="n">
        <v>0.35476979173471</v>
      </c>
      <c r="AF42" s="20"/>
    </row>
    <row r="43" customFormat="false" ht="15.75" hidden="false" customHeight="false" outlineLevel="0" collapsed="false">
      <c r="A43" s="7" t="n">
        <v>45349</v>
      </c>
      <c r="B43" s="1" t="n">
        <v>173.25</v>
      </c>
      <c r="C43" s="9" t="n">
        <v>4104.4</v>
      </c>
      <c r="D43" s="9" t="n">
        <v>1950.6</v>
      </c>
      <c r="E43" s="8" t="n">
        <v>2598.7</v>
      </c>
      <c r="F43" s="9" t="n">
        <v>1127.5</v>
      </c>
      <c r="G43" s="11" t="n">
        <v>1452</v>
      </c>
      <c r="H43" s="12" t="n">
        <v>0.551300304</v>
      </c>
      <c r="I43" s="12"/>
      <c r="J43" s="12"/>
      <c r="K43" s="8" t="n">
        <f aca="false">((B43-B42)/B42)*100</f>
        <v>-2.3943661971831</v>
      </c>
      <c r="L43" s="8" t="n">
        <f aca="false">((C43-C42)/C42)*100</f>
        <v>2.58307194361479</v>
      </c>
      <c r="M43" s="8" t="n">
        <f aca="false">((D43-D42)/D42)*100</f>
        <v>1.07783189967872</v>
      </c>
      <c r="N43" s="8" t="n">
        <f aca="false">((E43-E42)/E42)*100</f>
        <v>0.572777584271827</v>
      </c>
      <c r="O43" s="8" t="n">
        <f aca="false">((F43-F42)/F42)*100</f>
        <v>1.57200126120445</v>
      </c>
      <c r="P43" s="8" t="n">
        <f aca="false">((G43-G42)/G42)*100</f>
        <v>0.442722744881025</v>
      </c>
      <c r="Q43" s="8" t="n">
        <f aca="false">((H43-H42)/H42)*100</f>
        <v>1.60196820430358</v>
      </c>
      <c r="S43" s="8"/>
      <c r="V43" s="9" t="n">
        <f aca="false">K37-$V$4</f>
        <v>0.757656981254387</v>
      </c>
      <c r="W43" s="9" t="n">
        <f aca="false">L37-$W$4</f>
        <v>-0.63108392299514</v>
      </c>
      <c r="X43" s="9" t="n">
        <f aca="false">M37-$X$4</f>
        <v>0.459460979298632</v>
      </c>
      <c r="Y43" s="9" t="n">
        <f aca="false">N37-$Y$4</f>
        <v>1.11557994784464</v>
      </c>
      <c r="Z43" s="9" t="n">
        <f aca="false">O37-$Z$4</f>
        <v>1.79012102738616</v>
      </c>
      <c r="AA43" s="9" t="n">
        <f aca="false">P37-$AA$4</f>
        <v>0.190120823436766</v>
      </c>
      <c r="AB43" s="9" t="n">
        <f aca="false">Q37-$AB$4</f>
        <v>-1.68728597687641</v>
      </c>
      <c r="AD43" s="16" t="s">
        <v>20</v>
      </c>
      <c r="AE43" s="19" t="n">
        <v>0</v>
      </c>
      <c r="AF43" s="20"/>
    </row>
    <row r="44" customFormat="false" ht="15.75" hidden="false" customHeight="false" outlineLevel="0" collapsed="false">
      <c r="A44" s="7" t="n">
        <v>45350</v>
      </c>
      <c r="B44" s="1" t="n">
        <v>167.4</v>
      </c>
      <c r="C44" s="9" t="n">
        <v>4118.95</v>
      </c>
      <c r="D44" s="9" t="n">
        <v>1901.65</v>
      </c>
      <c r="E44" s="8" t="n">
        <v>2570.9</v>
      </c>
      <c r="F44" s="9" t="n">
        <v>1128.75</v>
      </c>
      <c r="G44" s="11" t="n">
        <v>1469.5</v>
      </c>
      <c r="H44" s="12" t="n">
        <v>0.587375369</v>
      </c>
      <c r="I44" s="12"/>
      <c r="J44" s="12"/>
      <c r="K44" s="8" t="n">
        <f aca="false">((B44-B43)/B43)*100</f>
        <v>-3.37662337662337</v>
      </c>
      <c r="L44" s="8" t="n">
        <f aca="false">((C44-C43)/C43)*100</f>
        <v>0.354497612318492</v>
      </c>
      <c r="M44" s="8" t="n">
        <f aca="false">((D44-D43)/D43)*100</f>
        <v>-2.50948426125294</v>
      </c>
      <c r="N44" s="8" t="n">
        <f aca="false">((E44-E43)/E43)*100</f>
        <v>-1.06976565205679</v>
      </c>
      <c r="O44" s="8" t="n">
        <f aca="false">((F44-F43)/F43)*100</f>
        <v>0.110864745011086</v>
      </c>
      <c r="P44" s="8" t="n">
        <f aca="false">((G44-G43)/G43)*100</f>
        <v>1.20523415977961</v>
      </c>
      <c r="Q44" s="8" t="n">
        <f aca="false">((H44-H43)/H43)*100</f>
        <v>6.54363234307232</v>
      </c>
      <c r="S44" s="8"/>
      <c r="V44" s="9" t="n">
        <f aca="false">K38-$V$4</f>
        <v>0.0881439385161918</v>
      </c>
      <c r="W44" s="9" t="n">
        <f aca="false">L38-$W$4</f>
        <v>-1.82011357435362</v>
      </c>
      <c r="X44" s="9" t="n">
        <f aca="false">M38-$X$4</f>
        <v>0.0271183054958531</v>
      </c>
      <c r="Y44" s="9" t="n">
        <f aca="false">N38-$Y$4</f>
        <v>1.12698170173396</v>
      </c>
      <c r="Z44" s="9" t="n">
        <f aca="false">O38-$Z$4</f>
        <v>-0.0388087322256175</v>
      </c>
      <c r="AA44" s="9" t="n">
        <f aca="false">P38-$AA$4</f>
        <v>1.95069990764708</v>
      </c>
      <c r="AB44" s="9" t="n">
        <f aca="false">Q38-$AB$4</f>
        <v>0.283414473620418</v>
      </c>
      <c r="AD44" s="16" t="s">
        <v>21</v>
      </c>
      <c r="AE44" s="19" t="n">
        <v>0.535439955378976</v>
      </c>
      <c r="AF44" s="20"/>
    </row>
    <row r="45" customFormat="false" ht="15.75" hidden="false" customHeight="false" outlineLevel="0" collapsed="false">
      <c r="A45" s="7" t="n">
        <v>45351</v>
      </c>
      <c r="B45" s="1" t="n">
        <v>165.55</v>
      </c>
      <c r="C45" s="9" t="n">
        <v>4095.1</v>
      </c>
      <c r="D45" s="9" t="n">
        <v>1932.4</v>
      </c>
      <c r="E45" s="8" t="n">
        <v>2596.2</v>
      </c>
      <c r="F45" s="9" t="n">
        <v>1123.35</v>
      </c>
      <c r="G45" s="11" t="n">
        <v>1463.8</v>
      </c>
      <c r="H45" s="12" t="n">
        <v>0.576529222</v>
      </c>
      <c r="I45" s="12"/>
      <c r="J45" s="12"/>
      <c r="K45" s="8" t="n">
        <f aca="false">((B45-B44)/B44)*100</f>
        <v>-1.10513739545997</v>
      </c>
      <c r="L45" s="8" t="n">
        <f aca="false">((C45-C44)/C44)*100</f>
        <v>-0.579031063741971</v>
      </c>
      <c r="M45" s="8" t="n">
        <f aca="false">((D45-D44)/D44)*100</f>
        <v>1.61701680119896</v>
      </c>
      <c r="N45" s="8" t="n">
        <f aca="false">((E45-E44)/E44)*100</f>
        <v>0.984091174296928</v>
      </c>
      <c r="O45" s="8" t="n">
        <f aca="false">((F45-F44)/F44)*100</f>
        <v>-0.478405315614626</v>
      </c>
      <c r="P45" s="8" t="n">
        <f aca="false">((G45-G44)/G44)*100</f>
        <v>-0.387887036406944</v>
      </c>
      <c r="Q45" s="8" t="n">
        <f aca="false">((H45-H44)/H44)*100</f>
        <v>-1.84654440285186</v>
      </c>
      <c r="S45" s="8"/>
      <c r="V45" s="9" t="n">
        <f aca="false">K39-$V$4</f>
        <v>-3.46170059922512</v>
      </c>
      <c r="W45" s="9" t="n">
        <f aca="false">L39-$W$4</f>
        <v>-1.00892665812766</v>
      </c>
      <c r="X45" s="9" t="n">
        <f aca="false">M39-$X$4</f>
        <v>0.0749120913950429</v>
      </c>
      <c r="Y45" s="9" t="n">
        <f aca="false">N39-$Y$4</f>
        <v>0.251889674514053</v>
      </c>
      <c r="Z45" s="9" t="n">
        <f aca="false">O39-$Z$4</f>
        <v>-0.546058282398855</v>
      </c>
      <c r="AA45" s="9" t="n">
        <f aca="false">P39-$AA$4</f>
        <v>1.51244917110939</v>
      </c>
      <c r="AB45" s="9" t="n">
        <f aca="false">Q39-$AB$4</f>
        <v>-0.513857207006179</v>
      </c>
      <c r="AD45" s="16" t="s">
        <v>6</v>
      </c>
      <c r="AE45" s="19" t="n">
        <v>0</v>
      </c>
      <c r="AF45" s="20"/>
    </row>
    <row r="46" customFormat="false" ht="15.75" hidden="false" customHeight="false" outlineLevel="0" collapsed="false">
      <c r="A46" s="7" t="n">
        <v>45352</v>
      </c>
      <c r="B46" s="1" t="n">
        <v>169.4</v>
      </c>
      <c r="C46" s="9" t="n">
        <v>4094.35</v>
      </c>
      <c r="D46" s="9" t="n">
        <v>1972.95</v>
      </c>
      <c r="E46" s="8" t="n">
        <v>2601.45</v>
      </c>
      <c r="F46" s="9" t="n">
        <v>1128.7</v>
      </c>
      <c r="G46" s="11" t="n">
        <v>1480.5</v>
      </c>
      <c r="H46" s="12" t="n">
        <v>0.587286721</v>
      </c>
      <c r="I46" s="12"/>
      <c r="J46" s="12"/>
      <c r="K46" s="8" t="n">
        <f aca="false">((B46-B45)/B45)*100</f>
        <v>2.32558139534883</v>
      </c>
      <c r="L46" s="8" t="n">
        <f aca="false">((C46-C45)/C45)*100</f>
        <v>-0.0183145710727455</v>
      </c>
      <c r="M46" s="8" t="n">
        <f aca="false">((D46-D45)/D45)*100</f>
        <v>2.09842682674394</v>
      </c>
      <c r="N46" s="8" t="n">
        <f aca="false">((E46-E45)/E45)*100</f>
        <v>0.202218627224405</v>
      </c>
      <c r="O46" s="8" t="n">
        <f aca="false">((F46-F45)/F45)*100</f>
        <v>0.476254061512453</v>
      </c>
      <c r="P46" s="8" t="n">
        <f aca="false">((G46-G45)/G45)*100</f>
        <v>1.14086623855718</v>
      </c>
      <c r="Q46" s="8" t="n">
        <f aca="false">((H46-H45)/H45)*100</f>
        <v>1.86590698086072</v>
      </c>
      <c r="S46" s="8"/>
      <c r="V46" s="9" t="n">
        <f aca="false">K40-$V$4</f>
        <v>-1.47070257181235</v>
      </c>
      <c r="W46" s="9" t="n">
        <f aca="false">L40-$W$4</f>
        <v>2.35747026457278</v>
      </c>
      <c r="X46" s="9" t="n">
        <f aca="false">M40-$X$4</f>
        <v>2.47754585892812</v>
      </c>
      <c r="Y46" s="9" t="n">
        <f aca="false">N40-$Y$4</f>
        <v>0.855091965644723</v>
      </c>
      <c r="Z46" s="9" t="n">
        <f aca="false">O40-$Z$4</f>
        <v>-0.573634251899003</v>
      </c>
      <c r="AA46" s="9" t="n">
        <f aca="false">P40-$AA$4</f>
        <v>1.97029872642141</v>
      </c>
      <c r="AB46" s="9" t="n">
        <f aca="false">Q40-$AB$4</f>
        <v>-3.13095155823083</v>
      </c>
      <c r="AD46" s="16" t="s">
        <v>22</v>
      </c>
      <c r="AE46" s="19" t="n">
        <v>0.109790252886314</v>
      </c>
      <c r="AF46" s="20"/>
    </row>
    <row r="47" customFormat="false" ht="15.75" hidden="false" customHeight="false" outlineLevel="0" collapsed="false">
      <c r="A47" s="7" t="n">
        <v>45353</v>
      </c>
      <c r="B47" s="1" t="n">
        <v>172.2</v>
      </c>
      <c r="C47" s="9" t="n">
        <v>4107.1</v>
      </c>
      <c r="D47" s="9" t="n">
        <v>1960.1</v>
      </c>
      <c r="E47" s="8" t="n">
        <v>2594.9</v>
      </c>
      <c r="F47" s="9" t="n">
        <v>1131.1</v>
      </c>
      <c r="G47" s="11" t="n">
        <v>1479.6</v>
      </c>
      <c r="H47" s="12" t="n">
        <v>0.601617795</v>
      </c>
      <c r="I47" s="12"/>
      <c r="J47" s="12"/>
      <c r="K47" s="8" t="n">
        <f aca="false">((B47-B46)/B46)*100</f>
        <v>1.65289256198346</v>
      </c>
      <c r="L47" s="8" t="n">
        <f aca="false">((C47-C46)/C46)*100</f>
        <v>0.31140474067924</v>
      </c>
      <c r="M47" s="8" t="n">
        <f aca="false">((D47-D46)/D46)*100</f>
        <v>-0.651308953597412</v>
      </c>
      <c r="N47" s="8" t="n">
        <f aca="false">((E47-E46)/E46)*100</f>
        <v>-0.251782659670558</v>
      </c>
      <c r="O47" s="8" t="n">
        <f aca="false">((F47-F46)/F46)*100</f>
        <v>0.212634003721083</v>
      </c>
      <c r="P47" s="8" t="n">
        <f aca="false">((G47-G46)/G46)*100</f>
        <v>-0.0607902735562371</v>
      </c>
      <c r="Q47" s="8" t="n">
        <f aca="false">((H47-H46)/H46)*100</f>
        <v>2.44021761220785</v>
      </c>
      <c r="S47" s="8"/>
      <c r="V47" s="9" t="n">
        <f aca="false">K41-$V$4</f>
        <v>-2.18694171115929</v>
      </c>
      <c r="W47" s="9" t="n">
        <f aca="false">L41-$W$4</f>
        <v>-0.893972216023535</v>
      </c>
      <c r="X47" s="9" t="n">
        <f aca="false">M41-$X$4</f>
        <v>0.777216392043025</v>
      </c>
      <c r="Y47" s="9" t="n">
        <f aca="false">N41-$Y$4</f>
        <v>0.704876002567283</v>
      </c>
      <c r="Z47" s="9" t="n">
        <f aca="false">O41-$Z$4</f>
        <v>-1.05503975058801</v>
      </c>
      <c r="AA47" s="9" t="n">
        <f aca="false">P41-$AA$4</f>
        <v>-0.110998846205139</v>
      </c>
      <c r="AB47" s="9" t="n">
        <f aca="false">Q41-$AB$4</f>
        <v>-2.18806148399041</v>
      </c>
      <c r="AD47" s="19" t="s">
        <v>35</v>
      </c>
      <c r="AE47" s="19" t="n">
        <f aca="false">SUM(AE40:AE46)</f>
        <v>1</v>
      </c>
      <c r="AF47" s="20"/>
    </row>
    <row r="48" customFormat="false" ht="15.75" hidden="false" customHeight="false" outlineLevel="0" collapsed="false">
      <c r="A48" s="7" t="n">
        <v>45355</v>
      </c>
      <c r="B48" s="1" t="n">
        <v>175.25</v>
      </c>
      <c r="C48" s="9" t="n">
        <v>4080.7</v>
      </c>
      <c r="D48" s="9" t="n">
        <v>1921.05</v>
      </c>
      <c r="E48" s="8" t="n">
        <v>2589.1</v>
      </c>
      <c r="F48" s="9" t="n">
        <v>1133.5</v>
      </c>
      <c r="G48" s="11" t="n">
        <v>1477</v>
      </c>
      <c r="H48" s="12" t="n">
        <v>0.626699491</v>
      </c>
      <c r="I48" s="12"/>
      <c r="J48" s="12"/>
      <c r="K48" s="8" t="n">
        <f aca="false">((B48-B47)/B47)*100</f>
        <v>1.77119628339141</v>
      </c>
      <c r="L48" s="8" t="n">
        <f aca="false">((C48-C47)/C47)*100</f>
        <v>-0.642789316062442</v>
      </c>
      <c r="M48" s="8" t="n">
        <f aca="false">((D48-D47)/D47)*100</f>
        <v>-1.99224529360747</v>
      </c>
      <c r="N48" s="8" t="n">
        <f aca="false">((E48-E47)/E47)*100</f>
        <v>-0.223515357046521</v>
      </c>
      <c r="O48" s="8" t="n">
        <f aca="false">((F48-F47)/F47)*100</f>
        <v>0.21218283087261</v>
      </c>
      <c r="P48" s="8" t="n">
        <f aca="false">((G48-G47)/G47)*100</f>
        <v>-0.175723168423892</v>
      </c>
      <c r="Q48" s="8" t="n">
        <f aca="false">((H48-H47)/H47)*100</f>
        <v>4.16904157564023</v>
      </c>
      <c r="S48" s="8"/>
      <c r="V48" s="9" t="n">
        <f aca="false">K42-$V$4</f>
        <v>0.893817631054673</v>
      </c>
      <c r="W48" s="9" t="n">
        <f aca="false">L42-$W$4</f>
        <v>-1.29745987724473</v>
      </c>
      <c r="X48" s="9" t="n">
        <f aca="false">M42-$X$4</f>
        <v>-0.256545831867404</v>
      </c>
      <c r="Y48" s="9" t="n">
        <f aca="false">N42-$Y$4</f>
        <v>0.276492397026424</v>
      </c>
      <c r="Z48" s="9" t="n">
        <f aca="false">O42-$Z$4</f>
        <v>-1.58664763477558</v>
      </c>
      <c r="AA48" s="9" t="n">
        <f aca="false">P42-$AA$4</f>
        <v>-0.530817245168925</v>
      </c>
      <c r="AB48" s="9" t="n">
        <f aca="false">Q42-$AB$4</f>
        <v>-0.417336961887481</v>
      </c>
      <c r="AD48" s="20"/>
      <c r="AE48" s="20"/>
      <c r="AF48" s="20"/>
    </row>
    <row r="49" customFormat="false" ht="15.75" hidden="false" customHeight="false" outlineLevel="0" collapsed="false">
      <c r="A49" s="7" t="n">
        <v>45356</v>
      </c>
      <c r="B49" s="1" t="n">
        <v>175.85</v>
      </c>
      <c r="C49" s="9" t="n">
        <v>4012.1</v>
      </c>
      <c r="D49" s="9" t="n">
        <v>1939.25</v>
      </c>
      <c r="E49" s="8" t="n">
        <v>2538.65</v>
      </c>
      <c r="F49" s="9" t="n">
        <v>1168.9</v>
      </c>
      <c r="G49" s="11" t="n">
        <v>1486</v>
      </c>
      <c r="H49" s="12" t="n">
        <v>0.65117783</v>
      </c>
      <c r="I49" s="12"/>
      <c r="J49" s="12"/>
      <c r="K49" s="8" t="n">
        <f aca="false">((B49-B48)/B48)*100</f>
        <v>0.34236804564907</v>
      </c>
      <c r="L49" s="8" t="n">
        <f aca="false">((C49-C48)/C48)*100</f>
        <v>-1.68108412772318</v>
      </c>
      <c r="M49" s="8" t="n">
        <f aca="false">((D49-D48)/D48)*100</f>
        <v>0.947398558080219</v>
      </c>
      <c r="N49" s="8" t="n">
        <f aca="false">((E49-E48)/E48)*100</f>
        <v>-1.94855355142713</v>
      </c>
      <c r="O49" s="8" t="n">
        <f aca="false">((F49-F48)/F48)*100</f>
        <v>3.1230701367446</v>
      </c>
      <c r="P49" s="8" t="n">
        <f aca="false">((G49-G48)/G48)*100</f>
        <v>0.609343263371699</v>
      </c>
      <c r="Q49" s="8" t="n">
        <f aca="false">((H49-H48)/H48)*100</f>
        <v>3.90591333669999</v>
      </c>
      <c r="S49" s="8"/>
      <c r="V49" s="9" t="n">
        <f aca="false">K43-$V$4</f>
        <v>-2.43884825336187</v>
      </c>
      <c r="W49" s="9" t="n">
        <f aca="false">L43-$W$4</f>
        <v>2.54545264286125</v>
      </c>
      <c r="X49" s="9" t="n">
        <f aca="false">M43-$X$4</f>
        <v>0.829058289889614</v>
      </c>
      <c r="Y49" s="9" t="n">
        <f aca="false">N43-$Y$4</f>
        <v>0.659273858770135</v>
      </c>
      <c r="Z49" s="9" t="n">
        <f aca="false">O43-$Z$4</f>
        <v>1.37997943144776</v>
      </c>
      <c r="AA49" s="9" t="n">
        <f aca="false">P43-$AA$4</f>
        <v>0.462263232238241</v>
      </c>
      <c r="AB49" s="9" t="n">
        <f aca="false">Q43-$AB$4</f>
        <v>0.922710487900428</v>
      </c>
      <c r="AD49" s="19" t="s">
        <v>36</v>
      </c>
      <c r="AE49" s="20" t="n">
        <f aca="false" t="array" ref="AE49:AE49">MMULT(TRANSPOSE(AE40:AE46),AE17:AE23)</f>
        <v>96.9620303245934</v>
      </c>
      <c r="AF49" s="20"/>
    </row>
    <row r="50" customFormat="false" ht="15.75" hidden="false" customHeight="false" outlineLevel="0" collapsed="false">
      <c r="A50" s="7" t="n">
        <v>45357</v>
      </c>
      <c r="B50" s="1" t="n">
        <v>177.35</v>
      </c>
      <c r="C50" s="9" t="n">
        <v>4064.3</v>
      </c>
      <c r="D50" s="9" t="n">
        <v>1970.65</v>
      </c>
      <c r="E50" s="8" t="n">
        <v>2533.05</v>
      </c>
      <c r="F50" s="9" t="n">
        <v>1193.7</v>
      </c>
      <c r="G50" s="11" t="n">
        <v>1500</v>
      </c>
      <c r="H50" s="12" t="n">
        <v>0.59528327</v>
      </c>
      <c r="I50" s="12"/>
      <c r="J50" s="12"/>
      <c r="K50" s="8" t="n">
        <f aca="false">((B50-B49)/B49)*100</f>
        <v>0.852999715666761</v>
      </c>
      <c r="L50" s="8" t="n">
        <f aca="false">((C50-C49)/C49)*100</f>
        <v>1.30106428055134</v>
      </c>
      <c r="M50" s="8" t="n">
        <f aca="false">((D50-D49)/D49)*100</f>
        <v>1.61918267371407</v>
      </c>
      <c r="N50" s="8" t="n">
        <f aca="false">((E50-E49)/E49)*100</f>
        <v>-0.220589683493192</v>
      </c>
      <c r="O50" s="8" t="n">
        <f aca="false">((F50-F49)/F49)*100</f>
        <v>2.12165283599965</v>
      </c>
      <c r="P50" s="8" t="n">
        <f aca="false">((G50-G49)/G49)*100</f>
        <v>0.942126514131898</v>
      </c>
      <c r="Q50" s="8" t="n">
        <f aca="false">((H50-H49)/H49)*100</f>
        <v>-8.58360918092066</v>
      </c>
      <c r="S50" s="9"/>
      <c r="V50" s="9" t="n">
        <f aca="false">K44-$V$4</f>
        <v>-3.42110543280214</v>
      </c>
      <c r="W50" s="9" t="n">
        <f aca="false">L44-$W$4</f>
        <v>0.316878311564952</v>
      </c>
      <c r="X50" s="9" t="n">
        <f aca="false">M44-$X$4</f>
        <v>-2.75825787104205</v>
      </c>
      <c r="Y50" s="9" t="n">
        <f aca="false">N44-$Y$4</f>
        <v>-0.983269377558478</v>
      </c>
      <c r="Z50" s="9" t="n">
        <f aca="false">O44-$Z$4</f>
        <v>-0.0811570847456114</v>
      </c>
      <c r="AA50" s="9" t="n">
        <f aca="false">P44-$AA$4</f>
        <v>1.22477464713683</v>
      </c>
      <c r="AB50" s="9" t="n">
        <f aca="false">Q44-$AB$4</f>
        <v>5.86437462666917</v>
      </c>
      <c r="AD50" s="19" t="s">
        <v>37</v>
      </c>
      <c r="AE50" s="20" t="e">
        <f aca="false" t="array" ref="AE50:AE50">SQRT(MMULT(MMULT(TRANSPOSE(AE40:AE46),_xlfn.anchorarray(AE5)),AE40:AE46))</f>
        <v>#NAME?</v>
      </c>
      <c r="AF50" s="20"/>
    </row>
    <row r="51" customFormat="false" ht="15.75" hidden="false" customHeight="false" outlineLevel="0" collapsed="false">
      <c r="A51" s="7" t="n">
        <v>45358</v>
      </c>
      <c r="B51" s="1" t="n">
        <v>174.6</v>
      </c>
      <c r="C51" s="9" t="n">
        <v>4108.6</v>
      </c>
      <c r="D51" s="9" t="n">
        <v>1897.55</v>
      </c>
      <c r="E51" s="8" t="n">
        <v>2560.95</v>
      </c>
      <c r="F51" s="9" t="n">
        <v>1199.7</v>
      </c>
      <c r="G51" s="11" t="n">
        <v>1535.5</v>
      </c>
      <c r="H51" s="12" t="n">
        <v>0.612915948</v>
      </c>
      <c r="I51" s="12"/>
      <c r="J51" s="12"/>
      <c r="K51" s="8" t="n">
        <f aca="false">((B51-B50)/B50)*100</f>
        <v>-1.55060614603891</v>
      </c>
      <c r="L51" s="8" t="n">
        <f aca="false">((C51-C50)/C50)*100</f>
        <v>1.08997859409985</v>
      </c>
      <c r="M51" s="8" t="n">
        <f aca="false">((D51-D50)/D50)*100</f>
        <v>-3.70943597290235</v>
      </c>
      <c r="N51" s="8" t="n">
        <f aca="false">((E51-E50)/E50)*100</f>
        <v>1.10143897672765</v>
      </c>
      <c r="O51" s="8" t="n">
        <f aca="false">((F51-F50)/F50)*100</f>
        <v>0.502638853983413</v>
      </c>
      <c r="P51" s="8" t="n">
        <f aca="false">((G51-G50)/G50)*100</f>
        <v>2.36666666666667</v>
      </c>
      <c r="Q51" s="8" t="n">
        <f aca="false">((H51-H50)/H50)*100</f>
        <v>2.96206510221596</v>
      </c>
      <c r="S51" s="9"/>
      <c r="V51" s="9" t="n">
        <f aca="false">K45-$V$4</f>
        <v>-1.14961945163874</v>
      </c>
      <c r="W51" s="9" t="n">
        <f aca="false">L45-$W$4</f>
        <v>-0.61665036449551</v>
      </c>
      <c r="X51" s="9" t="n">
        <f aca="false">M45-$X$4</f>
        <v>1.36824319140985</v>
      </c>
      <c r="Y51" s="9" t="n">
        <f aca="false">N45-$Y$4</f>
        <v>1.07058744879524</v>
      </c>
      <c r="Z51" s="9" t="n">
        <f aca="false">O45-$Z$4</f>
        <v>-0.670427145371324</v>
      </c>
      <c r="AA51" s="9" t="n">
        <f aca="false">P45-$AA$4</f>
        <v>-0.368346549049728</v>
      </c>
      <c r="AB51" s="9" t="n">
        <f aca="false">Q45-$AB$4</f>
        <v>-2.52580211925501</v>
      </c>
      <c r="AD51" s="19" t="s">
        <v>38</v>
      </c>
      <c r="AE51" s="20" t="e">
        <f aca="false">(AE49-AD14)/AE50</f>
        <v>#NAME?</v>
      </c>
      <c r="AF51" s="20"/>
    </row>
    <row r="52" customFormat="false" ht="15.75" hidden="false" customHeight="false" outlineLevel="0" collapsed="false">
      <c r="A52" s="7" t="n">
        <v>45362</v>
      </c>
      <c r="B52" s="1" t="n">
        <v>174.25</v>
      </c>
      <c r="C52" s="9" t="n">
        <v>4122.35</v>
      </c>
      <c r="D52" s="9" t="n">
        <v>1894.35</v>
      </c>
      <c r="E52" s="8" t="n">
        <v>2611.5</v>
      </c>
      <c r="F52" s="9" t="n">
        <v>1196.6</v>
      </c>
      <c r="G52" s="11" t="n">
        <v>1558.75</v>
      </c>
      <c r="H52" s="12" t="n">
        <v>0.608556046</v>
      </c>
      <c r="I52" s="12"/>
      <c r="J52" s="12"/>
      <c r="K52" s="8" t="n">
        <f aca="false">((B52-B51)/B51)*100</f>
        <v>-0.200458190148909</v>
      </c>
      <c r="L52" s="8" t="n">
        <f aca="false">((C52-C51)/C51)*100</f>
        <v>0.334663875772769</v>
      </c>
      <c r="M52" s="8" t="n">
        <f aca="false">((D52-D51)/D51)*100</f>
        <v>-0.168638507549211</v>
      </c>
      <c r="N52" s="8" t="n">
        <f aca="false">((E52-E51)/E51)*100</f>
        <v>1.97387688162597</v>
      </c>
      <c r="O52" s="8" t="n">
        <f aca="false">((F52-F51)/F51)*100</f>
        <v>-0.258397932816549</v>
      </c>
      <c r="P52" s="8" t="n">
        <f aca="false">((G52-G51)/G51)*100</f>
        <v>1.51416476717682</v>
      </c>
      <c r="Q52" s="8" t="n">
        <f aca="false">((H52-H51)/H51)*100</f>
        <v>-0.711337666155821</v>
      </c>
      <c r="S52" s="9"/>
      <c r="V52" s="9" t="n">
        <f aca="false">K46-$V$4</f>
        <v>2.28109933917007</v>
      </c>
      <c r="W52" s="9" t="n">
        <f aca="false">L46-$W$4</f>
        <v>-0.0559338718262849</v>
      </c>
      <c r="X52" s="9" t="n">
        <f aca="false">M46-$X$4</f>
        <v>1.84965321695484</v>
      </c>
      <c r="Y52" s="9" t="n">
        <f aca="false">N46-$Y$4</f>
        <v>0.288714901722714</v>
      </c>
      <c r="Z52" s="9" t="n">
        <f aca="false">O46-$Z$4</f>
        <v>0.284232231755755</v>
      </c>
      <c r="AA52" s="9" t="n">
        <f aca="false">P46-$AA$4</f>
        <v>1.1604067259144</v>
      </c>
      <c r="AB52" s="9" t="n">
        <f aca="false">Q46-$AB$4</f>
        <v>1.18664926445757</v>
      </c>
    </row>
    <row r="53" customFormat="false" ht="15.75" hidden="false" customHeight="false" outlineLevel="0" collapsed="false">
      <c r="A53" s="7" t="n">
        <v>45363</v>
      </c>
      <c r="B53" s="1" t="n">
        <v>172.9</v>
      </c>
      <c r="C53" s="9" t="n">
        <v>4192.25</v>
      </c>
      <c r="D53" s="9" t="n">
        <v>1895.15</v>
      </c>
      <c r="E53" s="8" t="n">
        <v>2590.15</v>
      </c>
      <c r="F53" s="9" t="n">
        <v>1204.25</v>
      </c>
      <c r="G53" s="11" t="n">
        <v>1549</v>
      </c>
      <c r="H53" s="12" t="n">
        <v>0.717049252</v>
      </c>
      <c r="I53" s="12"/>
      <c r="J53" s="12"/>
      <c r="K53" s="8" t="n">
        <f aca="false">((B53-B52)/B52)*100</f>
        <v>-0.774748923959825</v>
      </c>
      <c r="L53" s="8" t="n">
        <f aca="false">((C53-C52)/C52)*100</f>
        <v>1.69563477142891</v>
      </c>
      <c r="M53" s="8" t="n">
        <f aca="false">((D53-D52)/D52)*100</f>
        <v>0.0422308443529539</v>
      </c>
      <c r="N53" s="8" t="n">
        <f aca="false">((E53-E52)/E52)*100</f>
        <v>-0.817537813517132</v>
      </c>
      <c r="O53" s="8" t="n">
        <f aca="false">((F53-F52)/F52)*100</f>
        <v>0.639311382249715</v>
      </c>
      <c r="P53" s="8" t="n">
        <f aca="false">((G53-G52)/G52)*100</f>
        <v>-0.625501202886929</v>
      </c>
      <c r="Q53" s="8" t="n">
        <f aca="false">((H53-H52)/H52)*100</f>
        <v>17.8279727418894</v>
      </c>
      <c r="S53" s="9"/>
      <c r="V53" s="9" t="n">
        <f aca="false">K47-$V$4</f>
        <v>1.60841050580469</v>
      </c>
      <c r="W53" s="9" t="n">
        <f aca="false">L47-$W$4</f>
        <v>0.2737854399257</v>
      </c>
      <c r="X53" s="9" t="n">
        <f aca="false">M47-$X$4</f>
        <v>-0.900082563386519</v>
      </c>
      <c r="Y53" s="9" t="n">
        <f aca="false">N47-$Y$4</f>
        <v>-0.165286385172249</v>
      </c>
      <c r="Z53" s="9" t="n">
        <f aca="false">O47-$Z$4</f>
        <v>0.0206121739643851</v>
      </c>
      <c r="AA53" s="9" t="n">
        <f aca="false">P47-$AA$4</f>
        <v>-0.0412497861990204</v>
      </c>
      <c r="AB53" s="9" t="n">
        <f aca="false">Q47-$AB$4</f>
        <v>1.7609598958047</v>
      </c>
      <c r="AD53" s="19" t="s">
        <v>40</v>
      </c>
      <c r="AE53" s="20"/>
      <c r="AF53" s="20"/>
    </row>
    <row r="54" customFormat="false" ht="15.75" hidden="false" customHeight="false" outlineLevel="0" collapsed="false">
      <c r="A54" s="7" t="n">
        <v>45364</v>
      </c>
      <c r="B54" s="1" t="n">
        <v>163.35</v>
      </c>
      <c r="C54" s="9" t="n">
        <v>4149</v>
      </c>
      <c r="D54" s="9" t="n">
        <v>1853.7</v>
      </c>
      <c r="E54" s="8" t="n">
        <v>2582.95</v>
      </c>
      <c r="F54" s="9" t="n">
        <v>1168.75</v>
      </c>
      <c r="G54" s="11" t="n">
        <v>1548.75</v>
      </c>
      <c r="H54" s="12" t="n">
        <v>0.688693206</v>
      </c>
      <c r="I54" s="12"/>
      <c r="J54" s="12"/>
      <c r="K54" s="8" t="n">
        <f aca="false">((B54-B53)/B53)*100</f>
        <v>-5.52342394447658</v>
      </c>
      <c r="L54" s="8" t="n">
        <f aca="false">((C54-C53)/C53)*100</f>
        <v>-1.03166557337945</v>
      </c>
      <c r="M54" s="8" t="n">
        <f aca="false">((D54-D53)/D53)*100</f>
        <v>-2.18716196607129</v>
      </c>
      <c r="N54" s="8" t="n">
        <f aca="false">((E54-E53)/E53)*100</f>
        <v>-0.277976178985784</v>
      </c>
      <c r="O54" s="8" t="n">
        <f aca="false">((F54-F53)/F53)*100</f>
        <v>-2.94789287938551</v>
      </c>
      <c r="P54" s="8" t="n">
        <f aca="false">((G54-G53)/G53)*100</f>
        <v>-0.0161394448030988</v>
      </c>
      <c r="Q54" s="8" t="n">
        <f aca="false">((H54-H53)/H53)*100</f>
        <v>-3.95454648629911</v>
      </c>
      <c r="S54" s="9"/>
      <c r="V54" s="9" t="n">
        <f aca="false">K48-$V$4</f>
        <v>1.72671422721264</v>
      </c>
      <c r="W54" s="9" t="n">
        <f aca="false">L48-$W$4</f>
        <v>-0.680408616815981</v>
      </c>
      <c r="X54" s="9" t="n">
        <f aca="false">M48-$X$4</f>
        <v>-2.24101890339657</v>
      </c>
      <c r="Y54" s="9" t="n">
        <f aca="false">N48-$Y$4</f>
        <v>-0.137019082548213</v>
      </c>
      <c r="Z54" s="9" t="n">
        <f aca="false">O48-$Z$4</f>
        <v>0.020161001115912</v>
      </c>
      <c r="AA54" s="9" t="n">
        <f aca="false">P48-$AA$4</f>
        <v>-0.156182681066676</v>
      </c>
      <c r="AB54" s="9" t="n">
        <f aca="false">Q48-$AB$4</f>
        <v>3.48978385923708</v>
      </c>
      <c r="AD54" s="41" t="s">
        <v>51</v>
      </c>
      <c r="AE54" s="19" t="n">
        <v>0.0973633241796347</v>
      </c>
      <c r="AF54" s="20"/>
    </row>
    <row r="55" customFormat="false" ht="15.75" hidden="false" customHeight="false" outlineLevel="0" collapsed="false">
      <c r="A55" s="7" t="n">
        <v>45365</v>
      </c>
      <c r="B55" s="1" t="n">
        <v>170.35</v>
      </c>
      <c r="C55" s="9" t="n">
        <v>4207.6</v>
      </c>
      <c r="D55" s="9" t="n">
        <v>1890.55</v>
      </c>
      <c r="E55" s="8" t="n">
        <v>2612.75</v>
      </c>
      <c r="F55" s="9" t="n">
        <v>1194.6</v>
      </c>
      <c r="G55" s="11" t="n">
        <v>1516</v>
      </c>
      <c r="H55" s="12" t="n">
        <v>0.689654561</v>
      </c>
      <c r="I55" s="12"/>
      <c r="J55" s="12"/>
      <c r="K55" s="8" t="n">
        <f aca="false">((B55-B54)/B54)*100</f>
        <v>4.28527701254974</v>
      </c>
      <c r="L55" s="8" t="n">
        <f aca="false">((C55-C54)/C54)*100</f>
        <v>1.412388527356</v>
      </c>
      <c r="M55" s="8" t="n">
        <f aca="false">((D55-D54)/D54)*100</f>
        <v>1.98791605977234</v>
      </c>
      <c r="N55" s="8" t="n">
        <f aca="false">((E55-E54)/E54)*100</f>
        <v>1.15371958419637</v>
      </c>
      <c r="O55" s="8" t="n">
        <f aca="false">((F55-F54)/F54)*100</f>
        <v>2.21176470588235</v>
      </c>
      <c r="P55" s="8" t="n">
        <f aca="false">((G55-G54)/G54)*100</f>
        <v>-2.11460855528652</v>
      </c>
      <c r="Q55" s="8" t="n">
        <f aca="false">((H55-H54)/H54)*100</f>
        <v>0.139591183944401</v>
      </c>
      <c r="S55" s="9"/>
      <c r="V55" s="9" t="n">
        <f aca="false">K49-$V$4</f>
        <v>0.297885989470301</v>
      </c>
      <c r="W55" s="9" t="n">
        <f aca="false">L49-$W$4</f>
        <v>-1.71870342847672</v>
      </c>
      <c r="X55" s="9" t="n">
        <f aca="false">M49-$X$4</f>
        <v>0.698624948291112</v>
      </c>
      <c r="Y55" s="9" t="n">
        <f aca="false">N49-$Y$4</f>
        <v>-1.86205727692882</v>
      </c>
      <c r="Z55" s="9" t="n">
        <f aca="false">O49-$Z$4</f>
        <v>2.93104830698791</v>
      </c>
      <c r="AA55" s="9" t="n">
        <f aca="false">P49-$AA$4</f>
        <v>0.628883750728916</v>
      </c>
      <c r="AB55" s="9" t="n">
        <f aca="false">Q49-$AB$4</f>
        <v>3.22665562029684</v>
      </c>
      <c r="AD55" s="16" t="s">
        <v>18</v>
      </c>
      <c r="AE55" s="19" t="n">
        <v>0.18024175646041</v>
      </c>
      <c r="AF55" s="20"/>
    </row>
    <row r="56" customFormat="false" ht="15.75" hidden="false" customHeight="false" outlineLevel="0" collapsed="false">
      <c r="A56" s="7" t="n">
        <v>45366</v>
      </c>
      <c r="B56" s="1" t="n">
        <v>161</v>
      </c>
      <c r="C56" s="9" t="n">
        <v>4219.25</v>
      </c>
      <c r="D56" s="9" t="n">
        <v>1799.5</v>
      </c>
      <c r="E56" s="8" t="n">
        <v>2603.65</v>
      </c>
      <c r="F56" s="9" t="n">
        <v>1220</v>
      </c>
      <c r="G56" s="11" t="n">
        <v>1491.75</v>
      </c>
      <c r="H56" s="12" t="n">
        <v>0.669175408</v>
      </c>
      <c r="I56" s="12"/>
      <c r="J56" s="12"/>
      <c r="K56" s="8" t="n">
        <f aca="false">((B56-B55)/B55)*100</f>
        <v>-5.48869973583798</v>
      </c>
      <c r="L56" s="8" t="n">
        <f aca="false">((C56-C55)/C55)*100</f>
        <v>0.27687993155242</v>
      </c>
      <c r="M56" s="8" t="n">
        <f aca="false">((D56-D55)/D55)*100</f>
        <v>-4.81605881886223</v>
      </c>
      <c r="N56" s="8" t="n">
        <f aca="false">((E56-E55)/E55)*100</f>
        <v>-0.348292029470861</v>
      </c>
      <c r="O56" s="8" t="n">
        <f aca="false">((F56-F55)/F55)*100</f>
        <v>2.12623472291981</v>
      </c>
      <c r="P56" s="8" t="n">
        <f aca="false">((G56-G55)/G55)*100</f>
        <v>-1.59960422163588</v>
      </c>
      <c r="Q56" s="8" t="n">
        <f aca="false">((H56-H55)/H55)*100</f>
        <v>-2.96947981759234</v>
      </c>
      <c r="S56" s="9"/>
      <c r="V56" s="9" t="n">
        <f aca="false">K50-$V$4</f>
        <v>0.808517659487993</v>
      </c>
      <c r="W56" s="9" t="n">
        <f aca="false">L50-$W$4</f>
        <v>1.2634449797978</v>
      </c>
      <c r="X56" s="9" t="n">
        <f aca="false">M50-$X$4</f>
        <v>1.37040906392496</v>
      </c>
      <c r="Y56" s="9" t="n">
        <f aca="false">N50-$Y$4</f>
        <v>-0.134093408994883</v>
      </c>
      <c r="Z56" s="9" t="n">
        <f aca="false">O50-$Z$4</f>
        <v>1.92963100624296</v>
      </c>
      <c r="AA56" s="9" t="n">
        <f aca="false">P50-$AA$4</f>
        <v>0.961667001489114</v>
      </c>
      <c r="AB56" s="9" t="n">
        <f aca="false">Q50-$AB$4</f>
        <v>-9.26286689732381</v>
      </c>
      <c r="AD56" s="16" t="s">
        <v>29</v>
      </c>
      <c r="AE56" s="19" t="n">
        <v>0</v>
      </c>
      <c r="AF56" s="20"/>
    </row>
    <row r="57" customFormat="false" ht="15.75" hidden="false" customHeight="false" outlineLevel="0" collapsed="false">
      <c r="A57" s="7" t="n">
        <v>45369</v>
      </c>
      <c r="B57" s="1" t="n">
        <v>160.8</v>
      </c>
      <c r="C57" s="9" t="n">
        <v>4152.5</v>
      </c>
      <c r="D57" s="9" t="n">
        <v>1856.05</v>
      </c>
      <c r="E57" s="8" t="n">
        <v>2580.35</v>
      </c>
      <c r="F57" s="9" t="n">
        <v>1225.3</v>
      </c>
      <c r="G57" s="11" t="n">
        <v>1476.65</v>
      </c>
      <c r="H57" s="12" t="n">
        <v>0.619147028</v>
      </c>
      <c r="I57" s="12"/>
      <c r="J57" s="12"/>
      <c r="K57" s="8" t="n">
        <f aca="false">((B57-B56)/B56)*100</f>
        <v>-0.124223602484465</v>
      </c>
      <c r="L57" s="8" t="n">
        <f aca="false">((C57-C56)/C56)*100</f>
        <v>-1.58203472181075</v>
      </c>
      <c r="M57" s="8" t="n">
        <f aca="false">((D57-D56)/D56)*100</f>
        <v>3.14253959433176</v>
      </c>
      <c r="N57" s="8" t="n">
        <f aca="false">((E57-E56)/E56)*100</f>
        <v>-0.894897547673465</v>
      </c>
      <c r="O57" s="8" t="n">
        <f aca="false">((F57-F56)/F56)*100</f>
        <v>0.434426229508193</v>
      </c>
      <c r="P57" s="8" t="n">
        <f aca="false">((G57-G56)/G56)*100</f>
        <v>-1.01223395341042</v>
      </c>
      <c r="Q57" s="8" t="n">
        <f aca="false">((H57-H56)/H56)*100</f>
        <v>-7.47612350990639</v>
      </c>
      <c r="S57" s="9"/>
      <c r="V57" s="9" t="n">
        <f aca="false">K51-$V$4</f>
        <v>-1.59508820221767</v>
      </c>
      <c r="W57" s="9" t="n">
        <f aca="false">L51-$W$4</f>
        <v>1.05235929334631</v>
      </c>
      <c r="X57" s="9" t="n">
        <f aca="false">M51-$X$4</f>
        <v>-3.95820958269146</v>
      </c>
      <c r="Y57" s="9" t="n">
        <f aca="false">N51-$Y$4</f>
        <v>1.18793525122595</v>
      </c>
      <c r="Z57" s="9" t="n">
        <f aca="false">O51-$Z$4</f>
        <v>0.310617024226715</v>
      </c>
      <c r="AA57" s="9" t="n">
        <f aca="false">P51-$AA$4</f>
        <v>2.38620715402388</v>
      </c>
      <c r="AB57" s="9" t="n">
        <f aca="false">Q51-$AB$4</f>
        <v>2.28280738581281</v>
      </c>
      <c r="AD57" s="16" t="s">
        <v>20</v>
      </c>
      <c r="AE57" s="19" t="n">
        <v>0.256520829213029</v>
      </c>
      <c r="AF57" s="20"/>
    </row>
    <row r="58" customFormat="false" ht="15.75" hidden="false" customHeight="false" outlineLevel="0" collapsed="false">
      <c r="A58" s="7" t="n">
        <v>45370</v>
      </c>
      <c r="B58" s="1" t="n">
        <v>155.25</v>
      </c>
      <c r="C58" s="9" t="n">
        <v>3977.3</v>
      </c>
      <c r="D58" s="9" t="n">
        <v>1843.9</v>
      </c>
      <c r="E58" s="8" t="n">
        <v>2496.05</v>
      </c>
      <c r="F58" s="9" t="n">
        <v>1228.35</v>
      </c>
      <c r="G58" s="11" t="n">
        <v>1481.25</v>
      </c>
      <c r="H58" s="12" t="n">
        <v>0.653906622</v>
      </c>
      <c r="I58" s="12"/>
      <c r="J58" s="12"/>
      <c r="K58" s="8" t="n">
        <f aca="false">((B58-B57)/B57)*100</f>
        <v>-3.45149253731344</v>
      </c>
      <c r="L58" s="8" t="n">
        <f aca="false">((C58-C57)/C57)*100</f>
        <v>-4.21914509331728</v>
      </c>
      <c r="M58" s="8" t="n">
        <f aca="false">((D58-D57)/D57)*100</f>
        <v>-0.654615985560727</v>
      </c>
      <c r="N58" s="8" t="n">
        <f aca="false">((E58-E57)/E57)*100</f>
        <v>-3.26699866297207</v>
      </c>
      <c r="O58" s="8" t="n">
        <f aca="false">((F58-F57)/F57)*100</f>
        <v>0.248918632171709</v>
      </c>
      <c r="P58" s="8" t="n">
        <f aca="false">((G58-G57)/G57)*100</f>
        <v>0.311515931331047</v>
      </c>
      <c r="Q58" s="8" t="n">
        <f aca="false">((H58-H57)/H57)*100</f>
        <v>5.6141098039802</v>
      </c>
      <c r="S58" s="9"/>
      <c r="V58" s="9" t="n">
        <f aca="false">K52-$V$4</f>
        <v>-0.244940246327677</v>
      </c>
      <c r="W58" s="9" t="n">
        <f aca="false">L52-$W$4</f>
        <v>0.29704457501923</v>
      </c>
      <c r="X58" s="9" t="n">
        <f aca="false">M52-$X$4</f>
        <v>-0.417412117338318</v>
      </c>
      <c r="Y58" s="9" t="n">
        <f aca="false">N52-$Y$4</f>
        <v>2.06037315612428</v>
      </c>
      <c r="Z58" s="9" t="n">
        <f aca="false">O52-$Z$4</f>
        <v>-0.450419762573247</v>
      </c>
      <c r="AA58" s="9" t="n">
        <f aca="false">P52-$AA$4</f>
        <v>1.53370525453403</v>
      </c>
      <c r="AB58" s="9" t="n">
        <f aca="false">Q52-$AB$4</f>
        <v>-1.39059538255897</v>
      </c>
      <c r="AD58" s="16" t="s">
        <v>21</v>
      </c>
      <c r="AE58" s="19" t="n">
        <v>0.0891128765319916</v>
      </c>
      <c r="AF58" s="20"/>
    </row>
    <row r="59" customFormat="false" ht="15.75" hidden="false" customHeight="false" outlineLevel="0" collapsed="false">
      <c r="A59" s="7" t="n">
        <v>45371</v>
      </c>
      <c r="B59" s="1" t="n">
        <v>158.25</v>
      </c>
      <c r="C59" s="9" t="n">
        <v>3970.9</v>
      </c>
      <c r="D59" s="9" t="n">
        <v>1844.4</v>
      </c>
      <c r="E59" s="8" t="n">
        <v>2550.25</v>
      </c>
      <c r="F59" s="9" t="n">
        <v>1231.8</v>
      </c>
      <c r="G59" s="11" t="n">
        <v>1469.65</v>
      </c>
      <c r="H59" s="12" t="n">
        <v>0.585240005</v>
      </c>
      <c r="I59" s="12"/>
      <c r="J59" s="12"/>
      <c r="K59" s="8" t="n">
        <f aca="false">((B59-B58)/B58)*100</f>
        <v>1.93236714975845</v>
      </c>
      <c r="L59" s="8" t="n">
        <f aca="false">((C59-C58)/C58)*100</f>
        <v>-0.160913182309609</v>
      </c>
      <c r="M59" s="8" t="n">
        <f aca="false">((D59-D58)/D58)*100</f>
        <v>0.0271164379847063</v>
      </c>
      <c r="N59" s="8" t="n">
        <f aca="false">((E59-E58)/E58)*100</f>
        <v>2.17143086075999</v>
      </c>
      <c r="O59" s="8" t="n">
        <f aca="false">((F59-F58)/F58)*100</f>
        <v>0.280864574429116</v>
      </c>
      <c r="P59" s="8" t="n">
        <f aca="false">((G59-G58)/G58)*100</f>
        <v>-0.783122362869192</v>
      </c>
      <c r="Q59" s="8" t="n">
        <f aca="false">((H59-H58)/H58)*100</f>
        <v>-10.5009820500029</v>
      </c>
      <c r="S59" s="9"/>
      <c r="V59" s="9" t="n">
        <f aca="false">K53-$V$4</f>
        <v>-0.819230980138593</v>
      </c>
      <c r="W59" s="9" t="n">
        <f aca="false">L53-$W$4</f>
        <v>1.65801547067537</v>
      </c>
      <c r="X59" s="9" t="n">
        <f aca="false">M53-$X$4</f>
        <v>-0.206542765436153</v>
      </c>
      <c r="Y59" s="9" t="n">
        <f aca="false">N53-$Y$4</f>
        <v>-0.731041539018824</v>
      </c>
      <c r="Z59" s="9" t="n">
        <f aca="false">O53-$Z$4</f>
        <v>0.447289552493017</v>
      </c>
      <c r="AA59" s="9" t="n">
        <f aca="false">P53-$AA$4</f>
        <v>-0.605960715529712</v>
      </c>
      <c r="AB59" s="9" t="n">
        <f aca="false">Q53-$AB$4</f>
        <v>17.1487150254863</v>
      </c>
      <c r="AD59" s="16" t="s">
        <v>6</v>
      </c>
      <c r="AE59" s="19" t="n">
        <v>0.365197860893393</v>
      </c>
      <c r="AF59" s="20"/>
    </row>
    <row r="60" customFormat="false" ht="15.75" hidden="false" customHeight="false" outlineLevel="0" collapsed="false">
      <c r="A60" s="7" t="n">
        <v>45372</v>
      </c>
      <c r="B60" s="1" t="n">
        <v>164.5</v>
      </c>
      <c r="C60" s="9" t="n">
        <v>3972.95</v>
      </c>
      <c r="D60" s="9" t="n">
        <v>1865.85</v>
      </c>
      <c r="E60" s="8" t="n">
        <v>2553.65</v>
      </c>
      <c r="F60" s="9" t="n">
        <v>1220.8</v>
      </c>
      <c r="G60" s="11" t="n">
        <v>1431.25</v>
      </c>
      <c r="H60" s="12" t="n">
        <v>0.611701579</v>
      </c>
      <c r="I60" s="12"/>
      <c r="J60" s="12"/>
      <c r="K60" s="8" t="n">
        <f aca="false">((B60-B59)/B59)*100</f>
        <v>3.94944707740916</v>
      </c>
      <c r="L60" s="8" t="n">
        <f aca="false">((C60-C59)/C59)*100</f>
        <v>0.0516255760658724</v>
      </c>
      <c r="M60" s="8" t="n">
        <f aca="false">((D60-D59)/D59)*100</f>
        <v>1.16297983083929</v>
      </c>
      <c r="N60" s="8" t="n">
        <f aca="false">((E60-E59)/E59)*100</f>
        <v>0.133320262719345</v>
      </c>
      <c r="O60" s="8" t="n">
        <f aca="false">((F60-F59)/F59)*100</f>
        <v>-0.893002110732262</v>
      </c>
      <c r="P60" s="8" t="n">
        <f aca="false">((G60-G59)/G59)*100</f>
        <v>-2.61286700915184</v>
      </c>
      <c r="Q60" s="8" t="n">
        <f aca="false">((H60-H59)/H59)*100</f>
        <v>4.52149097360493</v>
      </c>
      <c r="S60" s="9"/>
      <c r="V60" s="9" t="n">
        <f aca="false">K54-$V$4</f>
        <v>-5.56790600065535</v>
      </c>
      <c r="W60" s="9" t="n">
        <f aca="false">L54-$W$4</f>
        <v>-1.06928487413299</v>
      </c>
      <c r="X60" s="9" t="n">
        <f aca="false">M54-$X$4</f>
        <v>-2.4359355758604</v>
      </c>
      <c r="Y60" s="9" t="n">
        <f aca="false">N54-$Y$4</f>
        <v>-0.191479904487475</v>
      </c>
      <c r="Z60" s="9" t="n">
        <f aca="false">O54-$Z$4</f>
        <v>-3.13991470914221</v>
      </c>
      <c r="AA60" s="9" t="n">
        <f aca="false">P54-$AA$4</f>
        <v>0.00340104255411795</v>
      </c>
      <c r="AB60" s="9" t="n">
        <f aca="false">Q54-$AB$4</f>
        <v>-4.63380420270226</v>
      </c>
      <c r="AD60" s="16" t="s">
        <v>22</v>
      </c>
      <c r="AE60" s="19" t="n">
        <v>0.0115633527215413</v>
      </c>
      <c r="AF60" s="20"/>
    </row>
    <row r="61" customFormat="false" ht="15.75" hidden="false" customHeight="false" outlineLevel="0" collapsed="false">
      <c r="A61" s="7" t="n">
        <v>45373</v>
      </c>
      <c r="B61" s="1" t="n">
        <v>165.15</v>
      </c>
      <c r="C61" s="9" t="n">
        <v>3910.9</v>
      </c>
      <c r="D61" s="9" t="n">
        <v>1878.8</v>
      </c>
      <c r="E61" s="8" t="n">
        <v>2573.4</v>
      </c>
      <c r="F61" s="9" t="n">
        <v>1236.1</v>
      </c>
      <c r="G61" s="11" t="n">
        <v>1413</v>
      </c>
      <c r="H61" s="12" t="n">
        <v>0.641329056</v>
      </c>
      <c r="I61" s="12"/>
      <c r="J61" s="12"/>
      <c r="K61" s="8" t="n">
        <f aca="false">((B61-B60)/B60)*100</f>
        <v>0.395136778115505</v>
      </c>
      <c r="L61" s="8" t="n">
        <f aca="false">((C61-C60)/C60)*100</f>
        <v>-1.56181175197271</v>
      </c>
      <c r="M61" s="8" t="n">
        <f aca="false">((D61-D60)/D60)*100</f>
        <v>0.694053648471209</v>
      </c>
      <c r="N61" s="8" t="n">
        <f aca="false">((E61-E60)/E60)*100</f>
        <v>0.773402776418068</v>
      </c>
      <c r="O61" s="8" t="n">
        <f aca="false">((F61-F60)/F60)*100</f>
        <v>1.25327653997378</v>
      </c>
      <c r="P61" s="8" t="n">
        <f aca="false">((G61-G60)/G60)*100</f>
        <v>-1.27510917030568</v>
      </c>
      <c r="Q61" s="8" t="n">
        <f aca="false">((H61-H60)/H60)*100</f>
        <v>4.84345275819535</v>
      </c>
      <c r="S61" s="9"/>
      <c r="V61" s="9" t="n">
        <f aca="false">K55-$V$4</f>
        <v>4.24079495637097</v>
      </c>
      <c r="W61" s="9" t="n">
        <f aca="false">L55-$W$4</f>
        <v>1.37476922660246</v>
      </c>
      <c r="X61" s="9" t="n">
        <f aca="false">M55-$X$4</f>
        <v>1.73914244998323</v>
      </c>
      <c r="Y61" s="9" t="n">
        <f aca="false">N55-$Y$4</f>
        <v>1.24021585869468</v>
      </c>
      <c r="Z61" s="9" t="n">
        <f aca="false">O55-$Z$4</f>
        <v>2.01974287612565</v>
      </c>
      <c r="AA61" s="9" t="n">
        <f aca="false">P55-$AA$4</f>
        <v>-2.0950680679293</v>
      </c>
      <c r="AB61" s="9" t="n">
        <f aca="false">Q55-$AB$4</f>
        <v>-0.539666532458748</v>
      </c>
      <c r="AD61" s="19" t="s">
        <v>35</v>
      </c>
      <c r="AE61" s="20" t="n">
        <f aca="false">SUM(AE54:AE60)</f>
        <v>1</v>
      </c>
      <c r="AF61" s="20"/>
    </row>
    <row r="62" customFormat="false" ht="15.75" hidden="false" customHeight="false" outlineLevel="0" collapsed="false">
      <c r="A62" s="7" t="n">
        <v>45377</v>
      </c>
      <c r="B62" s="1" t="n">
        <v>167.45</v>
      </c>
      <c r="C62" s="9" t="n">
        <v>3877.5</v>
      </c>
      <c r="D62" s="9" t="n">
        <v>1863.95</v>
      </c>
      <c r="E62" s="8" t="n">
        <v>2586.1</v>
      </c>
      <c r="F62" s="9" t="n">
        <v>1213.1</v>
      </c>
      <c r="G62" s="11" t="n">
        <v>1425.8</v>
      </c>
      <c r="H62" s="12" t="n">
        <v>0.640037613</v>
      </c>
      <c r="I62" s="12"/>
      <c r="J62" s="12"/>
      <c r="K62" s="8" t="n">
        <f aca="false">((B62-B61)/B61)*100</f>
        <v>1.39267332727822</v>
      </c>
      <c r="L62" s="8" t="n">
        <f aca="false">((C62-C61)/C61)*100</f>
        <v>-0.854023370579664</v>
      </c>
      <c r="M62" s="8" t="n">
        <f aca="false">((D62-D61)/D61)*100</f>
        <v>-0.790398126463695</v>
      </c>
      <c r="N62" s="8" t="n">
        <f aca="false">((E62-E61)/E61)*100</f>
        <v>0.493510530815257</v>
      </c>
      <c r="O62" s="8" t="n">
        <f aca="false">((F62-F61)/F61)*100</f>
        <v>-1.86069088261468</v>
      </c>
      <c r="P62" s="8" t="n">
        <f aca="false">((G62-G61)/G61)*100</f>
        <v>0.905874026893132</v>
      </c>
      <c r="Q62" s="8" t="n">
        <f aca="false">((H62-H61)/H61)*100</f>
        <v>-0.201369794166952</v>
      </c>
      <c r="S62" s="9"/>
      <c r="V62" s="9" t="n">
        <f aca="false">K56-$V$4</f>
        <v>-5.53318179201675</v>
      </c>
      <c r="W62" s="9" t="n">
        <f aca="false">L56-$W$4</f>
        <v>0.239260630798881</v>
      </c>
      <c r="X62" s="9" t="n">
        <f aca="false">M56-$X$4</f>
        <v>-5.06483242865134</v>
      </c>
      <c r="Y62" s="9" t="n">
        <f aca="false">N56-$Y$4</f>
        <v>-0.261795754972552</v>
      </c>
      <c r="Z62" s="9" t="n">
        <f aca="false">O56-$Z$4</f>
        <v>1.93421289316312</v>
      </c>
      <c r="AA62" s="9" t="n">
        <f aca="false">P56-$AA$4</f>
        <v>-1.58006373427867</v>
      </c>
      <c r="AB62" s="9" t="n">
        <f aca="false">Q56-$AB$4</f>
        <v>-3.64873753399549</v>
      </c>
      <c r="AD62" s="20"/>
      <c r="AE62" s="20"/>
      <c r="AF62" s="20"/>
    </row>
    <row r="63" customFormat="false" ht="15.75" hidden="false" customHeight="false" outlineLevel="0" collapsed="false">
      <c r="A63" s="7" t="n">
        <v>45378</v>
      </c>
      <c r="B63" s="1" t="n">
        <v>166.2</v>
      </c>
      <c r="C63" s="9" t="n">
        <v>3840.9</v>
      </c>
      <c r="D63" s="9" t="n">
        <v>1881.15</v>
      </c>
      <c r="E63" s="8" t="n">
        <v>2566.45</v>
      </c>
      <c r="F63" s="9" t="n">
        <v>1224.8</v>
      </c>
      <c r="G63" s="11" t="n">
        <v>1422.65</v>
      </c>
      <c r="H63" s="12" t="n">
        <v>0.632865919</v>
      </c>
      <c r="I63" s="12"/>
      <c r="J63" s="12"/>
      <c r="K63" s="8" t="n">
        <f aca="false">((B63-B62)/B62)*100</f>
        <v>-0.746491489997014</v>
      </c>
      <c r="L63" s="8" t="n">
        <f aca="false">((C63-C62)/C62)*100</f>
        <v>-0.943907156673112</v>
      </c>
      <c r="M63" s="8" t="n">
        <f aca="false">((D63-D62)/D62)*100</f>
        <v>0.922771533571182</v>
      </c>
      <c r="N63" s="8" t="n">
        <f aca="false">((E63-E62)/E62)*100</f>
        <v>-0.7598314063648</v>
      </c>
      <c r="O63" s="8" t="n">
        <f aca="false">((F63-F62)/F62)*100</f>
        <v>0.964471189514471</v>
      </c>
      <c r="P63" s="8" t="n">
        <f aca="false">((G63-G62)/G62)*100</f>
        <v>-0.220928601486875</v>
      </c>
      <c r="Q63" s="8" t="n">
        <f aca="false">((H63-H62)/H62)*100</f>
        <v>-1.12051133469869</v>
      </c>
      <c r="S63" s="9"/>
      <c r="V63" s="9" t="n">
        <f aca="false">K57-$V$4</f>
        <v>-0.168705658663233</v>
      </c>
      <c r="W63" s="9" t="n">
        <f aca="false">L57-$W$4</f>
        <v>-1.61965402256429</v>
      </c>
      <c r="X63" s="9" t="n">
        <f aca="false">M57-$X$4</f>
        <v>2.89376598454265</v>
      </c>
      <c r="Y63" s="9" t="n">
        <f aca="false">N57-$Y$4</f>
        <v>-0.808401273175157</v>
      </c>
      <c r="Z63" s="9" t="n">
        <f aca="false">O57-$Z$4</f>
        <v>0.242404399751495</v>
      </c>
      <c r="AA63" s="9" t="n">
        <f aca="false">P57-$AA$4</f>
        <v>-0.992693466053201</v>
      </c>
      <c r="AB63" s="9" t="n">
        <f aca="false">Q57-$AB$4</f>
        <v>-8.15538122630954</v>
      </c>
      <c r="AD63" s="19" t="s">
        <v>36</v>
      </c>
      <c r="AE63" s="20" t="n">
        <f aca="false" t="array" ref="AE63:AE63">MMULT(TRANSPOSE(AE54:AE60),AE17:AE23)</f>
        <v>2.46497772454144</v>
      </c>
      <c r="AF63" s="20"/>
    </row>
    <row r="64" customFormat="false" ht="15.75" hidden="false" customHeight="false" outlineLevel="0" collapsed="false">
      <c r="A64" s="7" t="n">
        <v>45379</v>
      </c>
      <c r="B64" s="1" t="n">
        <v>167.75</v>
      </c>
      <c r="C64" s="9" t="n">
        <v>3876.3</v>
      </c>
      <c r="D64" s="9" t="n">
        <v>1921.35</v>
      </c>
      <c r="E64" s="8" t="n">
        <v>2622.35</v>
      </c>
      <c r="F64" s="9" t="n">
        <v>1228.6</v>
      </c>
      <c r="G64" s="11" t="n">
        <v>1423</v>
      </c>
      <c r="H64" s="12" t="n">
        <v>0.612301666</v>
      </c>
      <c r="I64" s="12"/>
      <c r="J64" s="12"/>
      <c r="K64" s="8" t="n">
        <f aca="false">((B64-B63)/B63)*100</f>
        <v>0.932611311672691</v>
      </c>
      <c r="L64" s="8" t="n">
        <f aca="false">((C64-C63)/C63)*100</f>
        <v>0.921658986175118</v>
      </c>
      <c r="M64" s="8" t="n">
        <f aca="false">((D64-D63)/D63)*100</f>
        <v>2.13699067060042</v>
      </c>
      <c r="N64" s="8" t="n">
        <f aca="false">((E64-E63)/E63)*100</f>
        <v>2.17810594400826</v>
      </c>
      <c r="O64" s="8" t="n">
        <f aca="false">((F64-F63)/F63)*100</f>
        <v>0.310254735467011</v>
      </c>
      <c r="P64" s="8" t="n">
        <f aca="false">((G64-G63)/G63)*100</f>
        <v>0.0246019751871443</v>
      </c>
      <c r="Q64" s="8" t="n">
        <f aca="false">((H64-H63)/H63)*100</f>
        <v>-3.2493854357798</v>
      </c>
      <c r="S64" s="9"/>
      <c r="V64" s="9" t="n">
        <f aca="false">K58-$V$4</f>
        <v>-3.49597459349221</v>
      </c>
      <c r="W64" s="9" t="n">
        <f aca="false">L58-$W$4</f>
        <v>-4.25676439407082</v>
      </c>
      <c r="X64" s="9" t="n">
        <f aca="false">M58-$X$4</f>
        <v>-0.903389595349834</v>
      </c>
      <c r="Y64" s="9" t="n">
        <f aca="false">N58-$Y$4</f>
        <v>-3.18050238847376</v>
      </c>
      <c r="Z64" s="9" t="n">
        <f aca="false">O58-$Z$4</f>
        <v>0.0568968024150114</v>
      </c>
      <c r="AA64" s="9" t="n">
        <f aca="false">P58-$AA$4</f>
        <v>0.331056418688264</v>
      </c>
      <c r="AB64" s="9" t="n">
        <f aca="false">Q58-$AB$4</f>
        <v>4.93485208757706</v>
      </c>
      <c r="AD64" s="19" t="s">
        <v>37</v>
      </c>
      <c r="AE64" s="20" t="e">
        <f aca="false" t="array" ref="AE64:AE64">SQRT(MMULT(MMULT(TRANSPOSE(AE54:AE60),_xlfn.anchorarray(AE5)),AE54:AE60))</f>
        <v>#NAME?</v>
      </c>
      <c r="AF64" s="20"/>
    </row>
    <row r="65" customFormat="false" ht="15.75" hidden="false" customHeight="false" outlineLevel="0" collapsed="false">
      <c r="A65" s="7" t="n">
        <v>45383</v>
      </c>
      <c r="B65" s="1" t="n">
        <v>169.25</v>
      </c>
      <c r="C65" s="9" t="n">
        <v>3916.75</v>
      </c>
      <c r="D65" s="9" t="n">
        <v>1915.95</v>
      </c>
      <c r="E65" s="8" t="n">
        <v>2585.6</v>
      </c>
      <c r="F65" s="9" t="n">
        <v>1217.35</v>
      </c>
      <c r="G65" s="11" t="n">
        <v>1435</v>
      </c>
      <c r="H65" s="12" t="n">
        <v>0.628962632</v>
      </c>
      <c r="I65" s="12"/>
      <c r="J65" s="12"/>
      <c r="K65" s="8" t="n">
        <f aca="false">((B65-B64)/B64)*100</f>
        <v>0.894187779433681</v>
      </c>
      <c r="L65" s="8" t="n">
        <f aca="false">((C65-C64)/C64)*100</f>
        <v>1.04352088331656</v>
      </c>
      <c r="M65" s="8" t="n">
        <f aca="false">((D65-D64)/D64)*100</f>
        <v>-0.28105238504176</v>
      </c>
      <c r="N65" s="8" t="n">
        <f aca="false">((E65-E64)/E64)*100</f>
        <v>-1.40141476156882</v>
      </c>
      <c r="O65" s="8" t="n">
        <f aca="false">((F65-F64)/F64)*100</f>
        <v>-0.915676379619079</v>
      </c>
      <c r="P65" s="8" t="n">
        <f aca="false">((G65-G64)/G64)*100</f>
        <v>0.84328882642305</v>
      </c>
      <c r="Q65" s="8" t="n">
        <f aca="false">((H65-H64)/H64)*100</f>
        <v>2.72103881553051</v>
      </c>
      <c r="S65" s="9"/>
      <c r="V65" s="9" t="n">
        <f aca="false">K59-$V$4</f>
        <v>1.88788509357969</v>
      </c>
      <c r="W65" s="9" t="n">
        <f aca="false">L59-$W$4</f>
        <v>-0.198532483063149</v>
      </c>
      <c r="X65" s="9" t="n">
        <f aca="false">M59-$X$4</f>
        <v>-0.221657171804401</v>
      </c>
      <c r="Y65" s="9" t="n">
        <f aca="false">N59-$Y$4</f>
        <v>2.2579271352583</v>
      </c>
      <c r="Z65" s="9" t="n">
        <f aca="false">O59-$Z$4</f>
        <v>0.088842744672418</v>
      </c>
      <c r="AA65" s="9" t="n">
        <f aca="false">P59-$AA$4</f>
        <v>-0.763581875511975</v>
      </c>
      <c r="AB65" s="9" t="n">
        <f aca="false">Q59-$AB$4</f>
        <v>-11.180239766406</v>
      </c>
      <c r="AD65" s="19" t="s">
        <v>38</v>
      </c>
      <c r="AE65" s="20" t="e">
        <f aca="false">(AE63-AD14)/AE64</f>
        <v>#NAME?</v>
      </c>
      <c r="AF65" s="20"/>
    </row>
    <row r="66" customFormat="false" ht="15.75" hidden="false" customHeight="false" outlineLevel="0" collapsed="false">
      <c r="A66" s="7" t="n">
        <v>45384</v>
      </c>
      <c r="B66" s="1" t="n">
        <v>174.2</v>
      </c>
      <c r="C66" s="9" t="n">
        <v>3883.8</v>
      </c>
      <c r="D66" s="9" t="n">
        <v>1971.95</v>
      </c>
      <c r="E66" s="8" t="n">
        <v>2623.3</v>
      </c>
      <c r="F66" s="9" t="n">
        <v>1208.25</v>
      </c>
      <c r="G66" s="11" t="n">
        <v>1472</v>
      </c>
      <c r="H66" s="12" t="n">
        <v>0.6121527</v>
      </c>
      <c r="I66" s="12"/>
      <c r="J66" s="12"/>
      <c r="K66" s="8" t="n">
        <f aca="false">((B66-B65)/B65)*100</f>
        <v>2.92466765140324</v>
      </c>
      <c r="L66" s="8" t="n">
        <f aca="false">((C66-C65)/C65)*100</f>
        <v>-0.841258696623472</v>
      </c>
      <c r="M66" s="8" t="n">
        <f aca="false">((D66-D65)/D65)*100</f>
        <v>2.92283201544926</v>
      </c>
      <c r="N66" s="8" t="n">
        <f aca="false">((E66-E65)/E65)*100</f>
        <v>1.45807549504952</v>
      </c>
      <c r="O66" s="8" t="n">
        <f aca="false">((F66-F65)/F65)*100</f>
        <v>-0.747525362467648</v>
      </c>
      <c r="P66" s="8" t="n">
        <f aca="false">((G66-G65)/G65)*100</f>
        <v>2.57839721254355</v>
      </c>
      <c r="Q66" s="8" t="n">
        <f aca="false">((H66-H65)/H65)*100</f>
        <v>-2.67264399262435</v>
      </c>
      <c r="S66" s="9"/>
      <c r="V66" s="9" t="n">
        <f aca="false">K60-$V$4</f>
        <v>3.90496502123039</v>
      </c>
      <c r="W66" s="9" t="n">
        <f aca="false">L60-$W$4</f>
        <v>0.0140062753123329</v>
      </c>
      <c r="X66" s="9" t="n">
        <f aca="false">M60-$X$4</f>
        <v>0.91420622105018</v>
      </c>
      <c r="Y66" s="9" t="n">
        <f aca="false">N60-$Y$4</f>
        <v>0.219816537217654</v>
      </c>
      <c r="Z66" s="9" t="n">
        <f aca="false">O60-$Z$4</f>
        <v>-1.08502394048896</v>
      </c>
      <c r="AA66" s="9" t="n">
        <f aca="false">P60-$AA$4</f>
        <v>-2.59332652179463</v>
      </c>
      <c r="AB66" s="9" t="n">
        <f aca="false">Q60-$AB$4</f>
        <v>3.84223325720178</v>
      </c>
    </row>
    <row r="67" customFormat="false" ht="15.75" hidden="false" customHeight="false" outlineLevel="0" collapsed="false">
      <c r="A67" s="7" t="n">
        <v>45385</v>
      </c>
      <c r="B67" s="1" t="n">
        <v>173.7</v>
      </c>
      <c r="C67" s="9" t="n">
        <v>3947.3</v>
      </c>
      <c r="D67" s="9" t="n">
        <v>1989.3</v>
      </c>
      <c r="E67" s="8" t="n">
        <v>2553.95</v>
      </c>
      <c r="F67" s="9" t="n">
        <v>1225.7</v>
      </c>
      <c r="G67" s="11" t="n">
        <v>1491.65</v>
      </c>
      <c r="H67" s="12" t="n">
        <v>0.585237207</v>
      </c>
      <c r="I67" s="12"/>
      <c r="J67" s="12"/>
      <c r="K67" s="8" t="n">
        <f aca="false">((B67-B66)/B66)*100</f>
        <v>-0.287026406429392</v>
      </c>
      <c r="L67" s="8" t="n">
        <f aca="false">((C67-C66)/C66)*100</f>
        <v>1.63499665276276</v>
      </c>
      <c r="M67" s="8" t="n">
        <f aca="false">((D67-D66)/D66)*100</f>
        <v>0.879839752529218</v>
      </c>
      <c r="N67" s="8" t="n">
        <f aca="false">((E67-E66)/E66)*100</f>
        <v>-2.64361681851105</v>
      </c>
      <c r="O67" s="8" t="n">
        <f aca="false">((F67-F66)/F66)*100</f>
        <v>1.44423753362301</v>
      </c>
      <c r="P67" s="8" t="n">
        <f aca="false">((G67-G66)/G66)*100</f>
        <v>1.33491847826088</v>
      </c>
      <c r="Q67" s="8" t="n">
        <f aca="false">((H67-H66)/H66)*100</f>
        <v>-4.39685931304395</v>
      </c>
      <c r="S67" s="9"/>
      <c r="V67" s="9" t="n">
        <f aca="false">K61-$V$4</f>
        <v>0.350654721936737</v>
      </c>
      <c r="W67" s="9" t="n">
        <f aca="false">L61-$W$4</f>
        <v>-1.59943105272625</v>
      </c>
      <c r="X67" s="9" t="n">
        <f aca="false">M61-$X$4</f>
        <v>0.445280038682101</v>
      </c>
      <c r="Y67" s="9" t="n">
        <f aca="false">N61-$Y$4</f>
        <v>0.859899050916377</v>
      </c>
      <c r="Z67" s="9" t="n">
        <f aca="false">O61-$Z$4</f>
        <v>1.06125471021709</v>
      </c>
      <c r="AA67" s="9" t="n">
        <f aca="false">P61-$AA$4</f>
        <v>-1.25556868294846</v>
      </c>
      <c r="AB67" s="9" t="n">
        <f aca="false">Q61-$AB$4</f>
        <v>4.1641950417922</v>
      </c>
    </row>
    <row r="68" customFormat="false" ht="15.75" hidden="false" customHeight="false" outlineLevel="0" collapsed="false">
      <c r="A68" s="7" t="n">
        <v>45386</v>
      </c>
      <c r="B68" s="1" t="n">
        <v>169.65</v>
      </c>
      <c r="C68" s="9" t="n">
        <v>4003.3</v>
      </c>
      <c r="D68" s="9" t="n">
        <v>2002.7</v>
      </c>
      <c r="E68" s="8" t="n">
        <v>2549.6</v>
      </c>
      <c r="F68" s="9" t="n">
        <v>1206.85</v>
      </c>
      <c r="G68" s="11" t="n">
        <v>1497.35</v>
      </c>
      <c r="H68" s="12" t="n">
        <v>0.575390505</v>
      </c>
      <c r="I68" s="12"/>
      <c r="J68" s="12"/>
      <c r="K68" s="8" t="n">
        <f aca="false">((B68-B67)/B67)*100</f>
        <v>-2.33160621761657</v>
      </c>
      <c r="L68" s="8" t="n">
        <f aca="false">((C68-C67)/C67)*100</f>
        <v>1.41869125731513</v>
      </c>
      <c r="M68" s="8" t="n">
        <f aca="false">((D68-D67)/D67)*100</f>
        <v>0.673603780224204</v>
      </c>
      <c r="N68" s="8" t="n">
        <f aca="false">((E68-E67)/E67)*100</f>
        <v>-0.170324399459657</v>
      </c>
      <c r="O68" s="8" t="n">
        <f aca="false">((F68-F67)/F67)*100</f>
        <v>-1.5378967120829</v>
      </c>
      <c r="P68" s="8" t="n">
        <f aca="false">((G68-G67)/G67)*100</f>
        <v>0.382127174605291</v>
      </c>
      <c r="Q68" s="8" t="n">
        <f aca="false">((H68-H67)/H67)*100</f>
        <v>-1.68251469356767</v>
      </c>
      <c r="S68" s="9"/>
      <c r="V68" s="9" t="n">
        <f aca="false">K62-$V$4</f>
        <v>1.34819127109945</v>
      </c>
      <c r="W68" s="9" t="n">
        <f aca="false">L62-$W$4</f>
        <v>-0.891642671333204</v>
      </c>
      <c r="X68" s="9" t="n">
        <f aca="false">M62-$X$4</f>
        <v>-1.0391717362528</v>
      </c>
      <c r="Y68" s="9" t="n">
        <f aca="false">N62-$Y$4</f>
        <v>0.580006805313566</v>
      </c>
      <c r="Z68" s="9" t="n">
        <f aca="false">O62-$Z$4</f>
        <v>-2.05271271237137</v>
      </c>
      <c r="AA68" s="9" t="n">
        <f aca="false">P62-$AA$4</f>
        <v>0.925414514250349</v>
      </c>
      <c r="AB68" s="9" t="n">
        <f aca="false">Q62-$AB$4</f>
        <v>-0.880627510570101</v>
      </c>
    </row>
    <row r="69" customFormat="false" ht="15.75" hidden="false" customHeight="false" outlineLevel="0" collapsed="false">
      <c r="A69" s="7" t="n">
        <v>45387</v>
      </c>
      <c r="B69" s="1" t="n">
        <v>168</v>
      </c>
      <c r="C69" s="9" t="n">
        <v>3979.25</v>
      </c>
      <c r="D69" s="9" t="n">
        <v>2013.3</v>
      </c>
      <c r="E69" s="8" t="n">
        <v>2537.65</v>
      </c>
      <c r="F69" s="9" t="n">
        <v>1191</v>
      </c>
      <c r="G69" s="11" t="n">
        <v>1510</v>
      </c>
      <c r="H69" s="12" t="n">
        <v>0.59346244</v>
      </c>
      <c r="I69" s="12"/>
      <c r="J69" s="12"/>
      <c r="K69" s="8" t="n">
        <f aca="false">((B69-B68)/B68)*100</f>
        <v>-0.972590627763045</v>
      </c>
      <c r="L69" s="8" t="n">
        <f aca="false">((C69-C68)/C68)*100</f>
        <v>-0.600754377638453</v>
      </c>
      <c r="M69" s="8" t="n">
        <f aca="false">((D69-D68)/D68)*100</f>
        <v>0.529285464622755</v>
      </c>
      <c r="N69" s="8" t="n">
        <f aca="false">((E69-E68)/E68)*100</f>
        <v>-0.468700972701593</v>
      </c>
      <c r="O69" s="8" t="n">
        <f aca="false">((F69-F68)/F68)*100</f>
        <v>-1.31333637154575</v>
      </c>
      <c r="P69" s="8" t="n">
        <f aca="false">((G69-G68)/G68)*100</f>
        <v>0.844825859017604</v>
      </c>
      <c r="Q69" s="8" t="n">
        <f aca="false">((H69-H68)/H68)*100</f>
        <v>3.14081216894603</v>
      </c>
      <c r="S69" s="9"/>
      <c r="V69" s="9" t="n">
        <f aca="false">K63-$V$4</f>
        <v>-0.790973546175783</v>
      </c>
      <c r="W69" s="9" t="n">
        <f aca="false">L63-$W$4</f>
        <v>-0.981526457426651</v>
      </c>
      <c r="X69" s="9" t="n">
        <f aca="false">M63-$X$4</f>
        <v>0.673997923782075</v>
      </c>
      <c r="Y69" s="9" t="n">
        <f aca="false">N63-$Y$4</f>
        <v>-0.673335131866491</v>
      </c>
      <c r="Z69" s="9" t="n">
        <f aca="false">O63-$Z$4</f>
        <v>0.772449359757773</v>
      </c>
      <c r="AA69" s="9" t="n">
        <f aca="false">P63-$AA$4</f>
        <v>-0.201388114129658</v>
      </c>
      <c r="AB69" s="9" t="n">
        <f aca="false">Q63-$AB$4</f>
        <v>-1.79976905110184</v>
      </c>
    </row>
    <row r="70" customFormat="false" ht="15.75" hidden="false" customHeight="false" outlineLevel="0" collapsed="false">
      <c r="A70" s="7" t="n">
        <v>45390</v>
      </c>
      <c r="B70" s="1" t="n">
        <v>170.3</v>
      </c>
      <c r="C70" s="9" t="n">
        <v>3972.55</v>
      </c>
      <c r="D70" s="9" t="n">
        <v>2078.1</v>
      </c>
      <c r="E70" s="8" t="n">
        <v>2498.05</v>
      </c>
      <c r="F70" s="9" t="n">
        <v>1204.7</v>
      </c>
      <c r="G70" s="11" t="n">
        <v>1554</v>
      </c>
      <c r="H70" s="12" t="n">
        <v>0.594670603</v>
      </c>
      <c r="I70" s="12"/>
      <c r="J70" s="12"/>
      <c r="K70" s="8" t="n">
        <f aca="false">((B70-B69)/B69)*100</f>
        <v>1.36904761904763</v>
      </c>
      <c r="L70" s="8" t="n">
        <f aca="false">((C70-C69)/C69)*100</f>
        <v>-0.168373437205499</v>
      </c>
      <c r="M70" s="8" t="n">
        <f aca="false">((D70-D69)/D69)*100</f>
        <v>3.2185963343764</v>
      </c>
      <c r="N70" s="8" t="n">
        <f aca="false">((E70-E69)/E69)*100</f>
        <v>-1.56049888676531</v>
      </c>
      <c r="O70" s="8" t="n">
        <f aca="false">((F70-F69)/F69)*100</f>
        <v>1.1502938706969</v>
      </c>
      <c r="P70" s="8" t="n">
        <f aca="false">((G70-G69)/G69)*100</f>
        <v>2.91390728476821</v>
      </c>
      <c r="Q70" s="8" t="n">
        <f aca="false">((H70-H69)/H69)*100</f>
        <v>0.203578679722331</v>
      </c>
      <c r="S70" s="9"/>
      <c r="V70" s="9" t="n">
        <f aca="false">K64-$V$4</f>
        <v>0.888129255493922</v>
      </c>
      <c r="W70" s="9" t="n">
        <f aca="false">L64-$W$4</f>
        <v>0.884039685421578</v>
      </c>
      <c r="X70" s="9" t="n">
        <f aca="false">M64-$X$4</f>
        <v>1.88821706081131</v>
      </c>
      <c r="Y70" s="9" t="n">
        <f aca="false">N64-$Y$4</f>
        <v>2.26460221850657</v>
      </c>
      <c r="Z70" s="9" t="n">
        <f aca="false">O64-$Z$4</f>
        <v>0.118232905710313</v>
      </c>
      <c r="AA70" s="9" t="n">
        <f aca="false">P64-$AA$4</f>
        <v>0.0441424625443611</v>
      </c>
      <c r="AB70" s="9" t="n">
        <f aca="false">Q64-$AB$4</f>
        <v>-3.92864315218295</v>
      </c>
    </row>
    <row r="71" customFormat="false" ht="15.75" hidden="false" customHeight="false" outlineLevel="0" collapsed="false">
      <c r="A71" s="7" t="n">
        <v>45391</v>
      </c>
      <c r="B71" s="1" t="n">
        <v>168.9</v>
      </c>
      <c r="C71" s="9" t="n">
        <v>3946.55</v>
      </c>
      <c r="D71" s="9" t="n">
        <v>2090.9</v>
      </c>
      <c r="E71" s="8" t="n">
        <v>2502.8</v>
      </c>
      <c r="F71" s="9" t="n">
        <v>1204.45</v>
      </c>
      <c r="G71" s="11" t="n">
        <v>1520</v>
      </c>
      <c r="H71" s="12" t="n">
        <v>0.615543456</v>
      </c>
      <c r="I71" s="12"/>
      <c r="J71" s="12"/>
      <c r="K71" s="8" t="n">
        <f aca="false">((B71-B70)/B70)*100</f>
        <v>-0.822078684674108</v>
      </c>
      <c r="L71" s="8" t="n">
        <f aca="false">((C71-C70)/C70)*100</f>
        <v>-0.654491447558873</v>
      </c>
      <c r="M71" s="8" t="n">
        <f aca="false">((D71-D70)/D70)*100</f>
        <v>0.615947259515913</v>
      </c>
      <c r="N71" s="8" t="n">
        <f aca="false">((E71-E70)/E70)*100</f>
        <v>0.190148315686235</v>
      </c>
      <c r="O71" s="8" t="n">
        <f aca="false">((F71-F70)/F70)*100</f>
        <v>-0.0207520544533909</v>
      </c>
      <c r="P71" s="8" t="n">
        <f aca="false">((G71-G70)/G70)*100</f>
        <v>-2.18790218790219</v>
      </c>
      <c r="Q71" s="8" t="n">
        <f aca="false">((H71-H70)/H70)*100</f>
        <v>3.50998567857575</v>
      </c>
      <c r="S71" s="9"/>
      <c r="V71" s="9" t="n">
        <f aca="false">K65-$V$4</f>
        <v>0.849705723254913</v>
      </c>
      <c r="W71" s="9" t="n">
        <f aca="false">L65-$W$4</f>
        <v>1.00590158256302</v>
      </c>
      <c r="X71" s="9" t="n">
        <f aca="false">M65-$X$4</f>
        <v>-0.529825994830868</v>
      </c>
      <c r="Y71" s="9" t="n">
        <f aca="false">N65-$Y$4</f>
        <v>-1.31491848707051</v>
      </c>
      <c r="Z71" s="9" t="n">
        <f aca="false">O65-$Z$4</f>
        <v>-1.10769820937578</v>
      </c>
      <c r="AA71" s="9" t="n">
        <f aca="false">P65-$AA$4</f>
        <v>0.862829313780267</v>
      </c>
      <c r="AB71" s="9" t="n">
        <f aca="false">Q65-$AB$4</f>
        <v>2.04178109912736</v>
      </c>
    </row>
    <row r="72" customFormat="false" ht="15.75" hidden="false" customHeight="false" outlineLevel="0" collapsed="false">
      <c r="A72" s="7" t="n">
        <v>45392</v>
      </c>
      <c r="B72" s="1" t="n">
        <v>173.05</v>
      </c>
      <c r="C72" s="9" t="n">
        <v>3984.65</v>
      </c>
      <c r="D72" s="9" t="n">
        <v>2076.2</v>
      </c>
      <c r="E72" s="8" t="n">
        <v>2527.6</v>
      </c>
      <c r="F72" s="9" t="n">
        <v>1229.4</v>
      </c>
      <c r="G72" s="11" t="n">
        <v>1553.35</v>
      </c>
      <c r="H72" s="12" t="n">
        <v>0.613693938</v>
      </c>
      <c r="I72" s="12"/>
      <c r="J72" s="12"/>
      <c r="K72" s="8" t="n">
        <f aca="false">((B72-B71)/B71)*100</f>
        <v>2.45707519242156</v>
      </c>
      <c r="L72" s="8" t="n">
        <f aca="false">((C72-C71)/C71)*100</f>
        <v>0.965400159633095</v>
      </c>
      <c r="M72" s="8" t="n">
        <f aca="false">((D72-D71)/D71)*100</f>
        <v>-0.703046534984948</v>
      </c>
      <c r="N72" s="8" t="n">
        <f aca="false">((E72-E71)/E71)*100</f>
        <v>0.99089020297266</v>
      </c>
      <c r="O72" s="8" t="n">
        <f aca="false">((F72-F71)/F71)*100</f>
        <v>2.07148491012496</v>
      </c>
      <c r="P72" s="8" t="n">
        <f aca="false">((G72-G71)/G71)*100</f>
        <v>2.19407894736842</v>
      </c>
      <c r="Q72" s="8" t="n">
        <f aca="false">((H72-H71)/H71)*100</f>
        <v>-0.30046911911285</v>
      </c>
      <c r="S72" s="9"/>
      <c r="V72" s="9" t="n">
        <f aca="false">K66-$V$4</f>
        <v>2.88018559522448</v>
      </c>
      <c r="W72" s="9" t="n">
        <f aca="false">L66-$W$4</f>
        <v>-0.878877997377011</v>
      </c>
      <c r="X72" s="9" t="n">
        <f aca="false">M66-$X$4</f>
        <v>2.67405840566015</v>
      </c>
      <c r="Y72" s="9" t="n">
        <f aca="false">N66-$Y$4</f>
        <v>1.54457176954782</v>
      </c>
      <c r="Z72" s="9" t="n">
        <f aca="false">O66-$Z$4</f>
        <v>-0.939547192224346</v>
      </c>
      <c r="AA72" s="9" t="n">
        <f aca="false">P66-$AA$4</f>
        <v>2.59793769990077</v>
      </c>
      <c r="AB72" s="9" t="n">
        <f aca="false">Q66-$AB$4</f>
        <v>-3.3519017090275</v>
      </c>
    </row>
    <row r="73" customFormat="false" ht="15.75" hidden="false" customHeight="false" outlineLevel="0" collapsed="false">
      <c r="A73" s="7" t="n">
        <v>45394</v>
      </c>
      <c r="B73" s="1" t="n">
        <v>170.15</v>
      </c>
      <c r="C73" s="9" t="n">
        <v>4001.4</v>
      </c>
      <c r="D73" s="9" t="n">
        <v>2070.95</v>
      </c>
      <c r="E73" s="8" t="n">
        <v>2536.2</v>
      </c>
      <c r="F73" s="9" t="n">
        <v>1225.55</v>
      </c>
      <c r="G73" s="11" t="n">
        <v>1520</v>
      </c>
      <c r="H73" s="12" t="n">
        <v>0.608853507</v>
      </c>
      <c r="I73" s="12"/>
      <c r="J73" s="12"/>
      <c r="K73" s="8" t="n">
        <f aca="false">((B73-B72)/B72)*100</f>
        <v>-1.67581623808148</v>
      </c>
      <c r="L73" s="8" t="n">
        <f aca="false">((C73-C72)/C72)*100</f>
        <v>0.420363143563425</v>
      </c>
      <c r="M73" s="8" t="n">
        <f aca="false">((D73-D72)/D72)*100</f>
        <v>-0.252865812542144</v>
      </c>
      <c r="N73" s="8" t="n">
        <f aca="false">((E73-E72)/E72)*100</f>
        <v>0.340243709447694</v>
      </c>
      <c r="O73" s="8" t="n">
        <f aca="false">((F73-F72)/F72)*100</f>
        <v>-0.313160891491796</v>
      </c>
      <c r="P73" s="8" t="n">
        <f aca="false">((G73-G72)/G72)*100</f>
        <v>-2.14697267196703</v>
      </c>
      <c r="Q73" s="8" t="n">
        <f aca="false">((H73-H72)/H72)*100</f>
        <v>-0.788736974618786</v>
      </c>
      <c r="S73" s="9"/>
      <c r="V73" s="9" t="n">
        <f aca="false">K67-$V$4</f>
        <v>-0.33150846260816</v>
      </c>
      <c r="W73" s="9" t="n">
        <f aca="false">L67-$W$4</f>
        <v>1.59737735200922</v>
      </c>
      <c r="X73" s="9" t="n">
        <f aca="false">M67-$X$4</f>
        <v>0.631066142740111</v>
      </c>
      <c r="Y73" s="9" t="n">
        <f aca="false">N67-$Y$4</f>
        <v>-2.55712054401274</v>
      </c>
      <c r="Z73" s="9" t="n">
        <f aca="false">O67-$Z$4</f>
        <v>1.25221570386631</v>
      </c>
      <c r="AA73" s="9" t="n">
        <f aca="false">P67-$AA$4</f>
        <v>1.35445896561809</v>
      </c>
      <c r="AB73" s="9" t="n">
        <f aca="false">Q67-$AB$4</f>
        <v>-5.07611702944709</v>
      </c>
    </row>
    <row r="74" customFormat="false" ht="15.75" hidden="false" customHeight="false" outlineLevel="0" collapsed="false">
      <c r="A74" s="7" t="n">
        <v>45397</v>
      </c>
      <c r="B74" s="1" t="n">
        <v>166.4</v>
      </c>
      <c r="C74" s="9" t="n">
        <v>3941.2</v>
      </c>
      <c r="D74" s="9" t="n">
        <v>2053.45</v>
      </c>
      <c r="E74" s="8" t="n">
        <v>2553.65</v>
      </c>
      <c r="F74" s="9" t="n">
        <v>1224.55</v>
      </c>
      <c r="G74" s="11" t="n">
        <v>1563.35</v>
      </c>
      <c r="H74" s="12" t="n">
        <v>0.505139451</v>
      </c>
      <c r="I74" s="12"/>
      <c r="J74" s="12"/>
      <c r="K74" s="8" t="n">
        <f aca="false">((B74-B73)/B73)*100</f>
        <v>-2.20393770202762</v>
      </c>
      <c r="L74" s="8" t="n">
        <f aca="false">((C74-C73)/C73)*100</f>
        <v>-1.504473434298</v>
      </c>
      <c r="M74" s="8" t="n">
        <f aca="false">((D74-D73)/D73)*100</f>
        <v>-0.845022815616022</v>
      </c>
      <c r="N74" s="8" t="n">
        <f aca="false">((E74-E73)/E73)*100</f>
        <v>0.688037221039361</v>
      </c>
      <c r="O74" s="8" t="n">
        <f aca="false">((F74-F73)/F73)*100</f>
        <v>-0.081596018114316</v>
      </c>
      <c r="P74" s="8" t="n">
        <f aca="false">((G74-G73)/G73)*100</f>
        <v>2.85197368421052</v>
      </c>
      <c r="Q74" s="8" t="n">
        <f aca="false">((H74-H73)/H73)*100</f>
        <v>-17.0343202112819</v>
      </c>
      <c r="S74" s="9"/>
      <c r="V74" s="9" t="n">
        <f aca="false">K68-$V$4</f>
        <v>-2.37608827379534</v>
      </c>
      <c r="W74" s="9" t="n">
        <f aca="false">L68-$W$4</f>
        <v>1.38107195656159</v>
      </c>
      <c r="X74" s="9" t="n">
        <f aca="false">M68-$X$4</f>
        <v>0.424830170435097</v>
      </c>
      <c r="Y74" s="9" t="n">
        <f aca="false">N68-$Y$4</f>
        <v>-0.0838281249613482</v>
      </c>
      <c r="Z74" s="9" t="n">
        <f aca="false">O68-$Z$4</f>
        <v>-1.7299185418396</v>
      </c>
      <c r="AA74" s="9" t="n">
        <f aca="false">P68-$AA$4</f>
        <v>0.401667661962507</v>
      </c>
      <c r="AB74" s="9" t="n">
        <f aca="false">Q68-$AB$4</f>
        <v>-2.36177240997082</v>
      </c>
    </row>
    <row r="75" customFormat="false" ht="15.75" hidden="false" customHeight="false" outlineLevel="0" collapsed="false">
      <c r="A75" s="7" t="n">
        <v>45398</v>
      </c>
      <c r="B75" s="1" t="n">
        <v>169</v>
      </c>
      <c r="C75" s="9" t="n">
        <v>3872.8</v>
      </c>
      <c r="D75" s="9" t="n">
        <v>2031.3</v>
      </c>
      <c r="E75" s="8" t="n">
        <v>2546.1</v>
      </c>
      <c r="F75" s="9" t="n">
        <v>1216.45</v>
      </c>
      <c r="G75" s="11" t="n">
        <v>1591.6</v>
      </c>
      <c r="H75" s="12" t="n">
        <v>0.497455788</v>
      </c>
      <c r="I75" s="12"/>
      <c r="J75" s="12"/>
      <c r="K75" s="8" t="n">
        <f aca="false">((B75-B74)/B74)*100</f>
        <v>1.5625</v>
      </c>
      <c r="L75" s="8" t="n">
        <f aca="false">((C75-C74)/C74)*100</f>
        <v>-1.73551202679386</v>
      </c>
      <c r="M75" s="8" t="n">
        <f aca="false">((D75-D74)/D74)*100</f>
        <v>-1.07867247802478</v>
      </c>
      <c r="N75" s="8" t="n">
        <f aca="false">((E75-E74)/E74)*100</f>
        <v>-0.295655238580079</v>
      </c>
      <c r="O75" s="8" t="n">
        <f aca="false">((F75-F74)/F74)*100</f>
        <v>-0.661467477848998</v>
      </c>
      <c r="P75" s="8" t="n">
        <f aca="false">((G75-G74)/G74)*100</f>
        <v>1.80701698276138</v>
      </c>
      <c r="Q75" s="8" t="n">
        <f aca="false">((H75-H74)/H74)*100</f>
        <v>-1.52109738900595</v>
      </c>
      <c r="S75" s="9"/>
      <c r="V75" s="9" t="n">
        <f aca="false">K69-$V$4</f>
        <v>-1.01707268394181</v>
      </c>
      <c r="W75" s="9" t="n">
        <f aca="false">L69-$W$4</f>
        <v>-0.638373678391992</v>
      </c>
      <c r="X75" s="9" t="n">
        <f aca="false">M69-$X$4</f>
        <v>0.280511854833647</v>
      </c>
      <c r="Y75" s="9" t="n">
        <f aca="false">N69-$Y$4</f>
        <v>-0.382204698203284</v>
      </c>
      <c r="Z75" s="9" t="n">
        <f aca="false">O69-$Z$4</f>
        <v>-1.50535820130245</v>
      </c>
      <c r="AA75" s="9" t="n">
        <f aca="false">P69-$AA$4</f>
        <v>0.864366346374821</v>
      </c>
      <c r="AB75" s="9" t="n">
        <f aca="false">Q69-$AB$4</f>
        <v>2.46155445254289</v>
      </c>
    </row>
    <row r="76" customFormat="false" ht="15.75" hidden="false" customHeight="false" outlineLevel="0" collapsed="false">
      <c r="A76" s="7" t="n">
        <v>45400</v>
      </c>
      <c r="B76" s="1" t="n">
        <v>169</v>
      </c>
      <c r="C76" s="9" t="n">
        <v>3862</v>
      </c>
      <c r="D76" s="9" t="n">
        <v>2024.95</v>
      </c>
      <c r="E76" s="8" t="n">
        <v>2462.55</v>
      </c>
      <c r="F76" s="9" t="n">
        <v>1265.75</v>
      </c>
      <c r="G76" s="11" t="n">
        <v>1608.25</v>
      </c>
      <c r="H76" s="12" t="n">
        <v>0.494797858</v>
      </c>
      <c r="I76" s="12"/>
      <c r="J76" s="12"/>
      <c r="K76" s="8" t="n">
        <f aca="false">((B76-B75)/B75)*100</f>
        <v>0</v>
      </c>
      <c r="L76" s="8" t="n">
        <f aca="false">((C76-C75)/C75)*100</f>
        <v>-0.278868002478831</v>
      </c>
      <c r="M76" s="8" t="n">
        <f aca="false">((D76-D75)/D75)*100</f>
        <v>-0.312607689656866</v>
      </c>
      <c r="N76" s="8" t="n">
        <f aca="false">((E76-E75)/E75)*100</f>
        <v>-3.28148933663249</v>
      </c>
      <c r="O76" s="8" t="n">
        <f aca="false">((F76-F75)/F75)*100</f>
        <v>4.05277652184635</v>
      </c>
      <c r="P76" s="8" t="n">
        <f aca="false">((G76-G75)/G75)*100</f>
        <v>1.04611711485298</v>
      </c>
      <c r="Q76" s="8" t="n">
        <f aca="false">((H76-H75)/H75)*100</f>
        <v>-0.534304769210974</v>
      </c>
      <c r="S76" s="9"/>
      <c r="V76" s="9" t="n">
        <f aca="false">K70-$V$4</f>
        <v>1.32456556286886</v>
      </c>
      <c r="W76" s="9" t="n">
        <f aca="false">L70-$W$4</f>
        <v>-0.205992737959038</v>
      </c>
      <c r="X76" s="9" t="n">
        <f aca="false">M70-$X$4</f>
        <v>2.96982272458729</v>
      </c>
      <c r="Y76" s="9" t="n">
        <f aca="false">N70-$Y$4</f>
        <v>-1.474002612267</v>
      </c>
      <c r="Z76" s="9" t="n">
        <f aca="false">O70-$Z$4</f>
        <v>0.958272040940199</v>
      </c>
      <c r="AA76" s="9" t="n">
        <f aca="false">P70-$AA$4</f>
        <v>2.93344777212543</v>
      </c>
      <c r="AB76" s="9" t="n">
        <f aca="false">Q70-$AB$4</f>
        <v>-0.475679036680818</v>
      </c>
    </row>
    <row r="77" customFormat="false" ht="15.75" hidden="false" customHeight="false" outlineLevel="0" collapsed="false">
      <c r="A77" s="7" t="n">
        <v>45401</v>
      </c>
      <c r="B77" s="1" t="n">
        <v>166.65</v>
      </c>
      <c r="C77" s="9" t="n">
        <v>3826.2</v>
      </c>
      <c r="D77" s="9" t="n">
        <v>2082.9</v>
      </c>
      <c r="E77" s="8" t="n">
        <v>2437.7</v>
      </c>
      <c r="F77" s="9" t="n">
        <v>1289</v>
      </c>
      <c r="G77" s="11" t="n">
        <v>1603.75</v>
      </c>
      <c r="H77" s="12" t="n">
        <v>0.502630196</v>
      </c>
      <c r="I77" s="12"/>
      <c r="J77" s="12"/>
      <c r="K77" s="8" t="n">
        <f aca="false">((B77-B76)/B76)*100</f>
        <v>-1.3905325443787</v>
      </c>
      <c r="L77" s="8" t="n">
        <f aca="false">((C77-C76)/C76)*100</f>
        <v>-0.926980838943557</v>
      </c>
      <c r="M77" s="8" t="n">
        <f aca="false">((D77-D76)/D76)*100</f>
        <v>2.86179905676684</v>
      </c>
      <c r="N77" s="8" t="n">
        <f aca="false">((E77-E76)/E76)*100</f>
        <v>-1.00911656616111</v>
      </c>
      <c r="O77" s="8" t="n">
        <f aca="false">((F77-F76)/F76)*100</f>
        <v>1.8368556191981</v>
      </c>
      <c r="P77" s="8" t="n">
        <f aca="false">((G77-G76)/G76)*100</f>
        <v>-0.279807243898648</v>
      </c>
      <c r="Q77" s="8" t="n">
        <f aca="false">((H77-H76)/H76)*100</f>
        <v>1.58293692532518</v>
      </c>
      <c r="S77" s="9"/>
      <c r="V77" s="9" t="n">
        <f aca="false">K71-$V$4</f>
        <v>-0.866560740852876</v>
      </c>
      <c r="W77" s="9" t="n">
        <f aca="false">L71-$W$4</f>
        <v>-0.692110748312412</v>
      </c>
      <c r="X77" s="9" t="n">
        <f aca="false">M71-$X$4</f>
        <v>0.367173649726805</v>
      </c>
      <c r="Y77" s="9" t="n">
        <f aca="false">N71-$Y$4</f>
        <v>0.276644590184544</v>
      </c>
      <c r="Z77" s="9" t="n">
        <f aca="false">O71-$Z$4</f>
        <v>-0.212773884210089</v>
      </c>
      <c r="AA77" s="9" t="n">
        <f aca="false">P71-$AA$4</f>
        <v>-2.16836170054497</v>
      </c>
      <c r="AB77" s="9" t="n">
        <f aca="false">Q71-$AB$4</f>
        <v>2.83072796217261</v>
      </c>
    </row>
    <row r="78" customFormat="false" ht="15.75" hidden="false" customHeight="false" outlineLevel="0" collapsed="false">
      <c r="A78" s="7" t="n">
        <v>45404</v>
      </c>
      <c r="B78" s="1" t="n">
        <v>170.9</v>
      </c>
      <c r="C78" s="9" t="n">
        <v>3864.6</v>
      </c>
      <c r="D78" s="9" t="n">
        <v>2090.65</v>
      </c>
      <c r="E78" s="8" t="n">
        <v>2458.7</v>
      </c>
      <c r="F78" s="9" t="n">
        <v>1297.55</v>
      </c>
      <c r="G78" s="11" t="n">
        <v>1608.75</v>
      </c>
      <c r="H78" s="12" t="n">
        <v>0.524269371</v>
      </c>
      <c r="I78" s="12"/>
      <c r="J78" s="12"/>
      <c r="K78" s="8" t="n">
        <f aca="false">((B78-B77)/B77)*100</f>
        <v>2.55025502550255</v>
      </c>
      <c r="L78" s="8" t="n">
        <f aca="false">((C78-C77)/C77)*100</f>
        <v>1.00360671161989</v>
      </c>
      <c r="M78" s="8" t="n">
        <f aca="false">((D78-D77)/D77)*100</f>
        <v>0.372077392097556</v>
      </c>
      <c r="N78" s="8" t="n">
        <f aca="false">((E78-E77)/E77)*100</f>
        <v>0.861467777002913</v>
      </c>
      <c r="O78" s="8" t="n">
        <f aca="false">((F78-F77)/F77)*100</f>
        <v>0.663304887509694</v>
      </c>
      <c r="P78" s="8" t="n">
        <f aca="false">((G78-G77)/G77)*100</f>
        <v>0.311769290724864</v>
      </c>
      <c r="Q78" s="8" t="n">
        <f aca="false">((H78-H77)/H77)*100</f>
        <v>4.30518802336341</v>
      </c>
      <c r="S78" s="9"/>
      <c r="V78" s="9" t="n">
        <f aca="false">K72-$V$4</f>
        <v>2.41259313624279</v>
      </c>
      <c r="W78" s="9" t="n">
        <f aca="false">L72-$W$4</f>
        <v>0.927780858879555</v>
      </c>
      <c r="X78" s="9" t="n">
        <f aca="false">M72-$X$4</f>
        <v>-0.951820144774055</v>
      </c>
      <c r="Y78" s="9" t="n">
        <f aca="false">N72-$Y$4</f>
        <v>1.07738647747097</v>
      </c>
      <c r="Z78" s="9" t="n">
        <f aca="false">O72-$Z$4</f>
        <v>1.87946308036826</v>
      </c>
      <c r="AA78" s="9" t="n">
        <f aca="false">P72-$AA$4</f>
        <v>2.21361943472563</v>
      </c>
      <c r="AB78" s="9" t="n">
        <f aca="false">Q72-$AB$4</f>
        <v>-0.979726835515999</v>
      </c>
    </row>
    <row r="79" customFormat="false" ht="15.75" hidden="false" customHeight="false" outlineLevel="0" collapsed="false">
      <c r="A79" s="7" t="n">
        <v>45405</v>
      </c>
      <c r="B79" s="1" t="n">
        <v>168.1</v>
      </c>
      <c r="C79" s="9" t="n">
        <v>3874.7</v>
      </c>
      <c r="D79" s="9" t="n">
        <v>2062.6</v>
      </c>
      <c r="E79" s="8" t="n">
        <v>2501.25</v>
      </c>
      <c r="F79" s="9" t="n">
        <v>1342.35</v>
      </c>
      <c r="G79" s="11" t="n">
        <v>1606.65</v>
      </c>
      <c r="H79" s="12" t="n">
        <v>0.55608036</v>
      </c>
      <c r="I79" s="12"/>
      <c r="J79" s="12"/>
      <c r="K79" s="8" t="n">
        <f aca="false">((B79-B78)/B78)*100</f>
        <v>-1.63838502047982</v>
      </c>
      <c r="L79" s="8" t="n">
        <f aca="false">((C79-C78)/C78)*100</f>
        <v>0.261346581793715</v>
      </c>
      <c r="M79" s="8" t="n">
        <f aca="false">((D79-D78)/D78)*100</f>
        <v>-1.3416879917729</v>
      </c>
      <c r="N79" s="8" t="n">
        <f aca="false">((E79-E78)/E78)*100</f>
        <v>1.73058933582788</v>
      </c>
      <c r="O79" s="8" t="n">
        <f aca="false">((F79-F78)/F78)*100</f>
        <v>3.45266078378482</v>
      </c>
      <c r="P79" s="8" t="n">
        <f aca="false">((G79-G78)/G78)*100</f>
        <v>-0.130536130536125</v>
      </c>
      <c r="Q79" s="8" t="n">
        <f aca="false">((H79-H78)/H78)*100</f>
        <v>6.06768023455637</v>
      </c>
      <c r="S79" s="9"/>
      <c r="V79" s="9" t="n">
        <f aca="false">K73-$V$4</f>
        <v>-1.72029829426025</v>
      </c>
      <c r="W79" s="9" t="n">
        <f aca="false">L73-$W$4</f>
        <v>0.382743842809885</v>
      </c>
      <c r="X79" s="9" t="n">
        <f aca="false">M73-$X$4</f>
        <v>-0.501639422331252</v>
      </c>
      <c r="Y79" s="9" t="n">
        <f aca="false">N73-$Y$4</f>
        <v>0.426739983946003</v>
      </c>
      <c r="Z79" s="9" t="n">
        <f aca="false">O73-$Z$4</f>
        <v>-0.505182721248494</v>
      </c>
      <c r="AA79" s="9" t="n">
        <f aca="false">P73-$AA$4</f>
        <v>-2.12743218460982</v>
      </c>
      <c r="AB79" s="9" t="n">
        <f aca="false">Q73-$AB$4</f>
        <v>-1.46799469102193</v>
      </c>
    </row>
    <row r="80" customFormat="false" ht="15.75" hidden="false" customHeight="false" outlineLevel="0" collapsed="false">
      <c r="A80" s="7" t="n">
        <v>45406</v>
      </c>
      <c r="B80" s="1" t="n">
        <v>168.75</v>
      </c>
      <c r="C80" s="9" t="n">
        <v>3831.05</v>
      </c>
      <c r="D80" s="9" t="n">
        <v>2058.45</v>
      </c>
      <c r="E80" s="8" t="n">
        <v>2500.15</v>
      </c>
      <c r="F80" s="9" t="n">
        <v>1336.4</v>
      </c>
      <c r="G80" s="11" t="n">
        <v>1625.25</v>
      </c>
      <c r="H80" s="12" t="n">
        <v>0.545339529</v>
      </c>
      <c r="I80" s="12"/>
      <c r="J80" s="12"/>
      <c r="K80" s="8" t="n">
        <f aca="false">((B80-B79)/B79)*100</f>
        <v>0.386674598453305</v>
      </c>
      <c r="L80" s="8" t="n">
        <f aca="false">((C80-C79)/C79)*100</f>
        <v>-1.12653882881254</v>
      </c>
      <c r="M80" s="8" t="n">
        <f aca="false">((D80-D79)/D79)*100</f>
        <v>-0.201202365945898</v>
      </c>
      <c r="N80" s="8" t="n">
        <f aca="false">((E80-E79)/E79)*100</f>
        <v>-0.0439780109944991</v>
      </c>
      <c r="O80" s="8" t="n">
        <f aca="false">((F80-F79)/F79)*100</f>
        <v>-0.443252504935361</v>
      </c>
      <c r="P80" s="8" t="n">
        <f aca="false">((G80-G79)/G79)*100</f>
        <v>1.15768835776304</v>
      </c>
      <c r="Q80" s="8" t="n">
        <f aca="false">((H80-H79)/H79)*100</f>
        <v>-1.93152496880127</v>
      </c>
      <c r="S80" s="9"/>
      <c r="V80" s="9" t="n">
        <f aca="false">K74-$V$4</f>
        <v>-2.24841975820639</v>
      </c>
      <c r="W80" s="9" t="n">
        <f aca="false">L74-$W$4</f>
        <v>-1.54209273505154</v>
      </c>
      <c r="X80" s="9" t="n">
        <f aca="false">M74-$X$4</f>
        <v>-1.09379642540513</v>
      </c>
      <c r="Y80" s="9" t="n">
        <f aca="false">N74-$Y$4</f>
        <v>0.77453349553767</v>
      </c>
      <c r="Z80" s="9" t="n">
        <f aca="false">O74-$Z$4</f>
        <v>-0.273617847871014</v>
      </c>
      <c r="AA80" s="9" t="n">
        <f aca="false">P74-$AA$4</f>
        <v>2.87151417156774</v>
      </c>
      <c r="AB80" s="9" t="n">
        <f aca="false">Q74-$AB$4</f>
        <v>-17.7135779276851</v>
      </c>
    </row>
    <row r="81" customFormat="false" ht="15.75" hidden="false" customHeight="false" outlineLevel="0" collapsed="false">
      <c r="A81" s="7" t="n">
        <v>45407</v>
      </c>
      <c r="B81" s="1" t="n">
        <v>170.2</v>
      </c>
      <c r="C81" s="9" t="n">
        <v>3852.2</v>
      </c>
      <c r="D81" s="9" t="n">
        <v>2096.85</v>
      </c>
      <c r="E81" s="8" t="n">
        <v>2562.65</v>
      </c>
      <c r="F81" s="9" t="n">
        <v>1338.7</v>
      </c>
      <c r="G81" s="11" t="n">
        <v>1619</v>
      </c>
      <c r="H81" s="12" t="n">
        <v>0.527146376</v>
      </c>
      <c r="I81" s="12"/>
      <c r="J81" s="12"/>
      <c r="K81" s="8" t="n">
        <f aca="false">((B81-B80)/B80)*100</f>
        <v>0.859259259259253</v>
      </c>
      <c r="L81" s="8" t="n">
        <f aca="false">((C81-C80)/C80)*100</f>
        <v>0.5520679709218</v>
      </c>
      <c r="M81" s="8" t="n">
        <f aca="false">((D81-D80)/D80)*100</f>
        <v>1.86548130875174</v>
      </c>
      <c r="N81" s="8" t="n">
        <f aca="false">((E81-E80)/E80)*100</f>
        <v>2.49985000899946</v>
      </c>
      <c r="O81" s="8" t="n">
        <f aca="false">((F81-F80)/F80)*100</f>
        <v>0.172104160431005</v>
      </c>
      <c r="P81" s="8" t="n">
        <f aca="false">((G81-G80)/G80)*100</f>
        <v>-0.384556222119674</v>
      </c>
      <c r="Q81" s="8" t="n">
        <f aca="false">((H81-H80)/H80)*100</f>
        <v>-3.33611484818663</v>
      </c>
      <c r="S81" s="9"/>
      <c r="V81" s="9" t="n">
        <f aca="false">K75-$V$4</f>
        <v>1.51801794382123</v>
      </c>
      <c r="W81" s="9" t="n">
        <f aca="false">L75-$W$4</f>
        <v>-1.7731313275474</v>
      </c>
      <c r="X81" s="9" t="n">
        <f aca="false">M75-$X$4</f>
        <v>-1.32744608781389</v>
      </c>
      <c r="Y81" s="9" t="n">
        <f aca="false">N75-$Y$4</f>
        <v>-0.20915896408177</v>
      </c>
      <c r="Z81" s="9" t="n">
        <f aca="false">O75-$Z$4</f>
        <v>-0.853489307605696</v>
      </c>
      <c r="AA81" s="9" t="n">
        <f aca="false">P75-$AA$4</f>
        <v>1.82655747011859</v>
      </c>
      <c r="AB81" s="9" t="n">
        <f aca="false">Q75-$AB$4</f>
        <v>-2.2003551054091</v>
      </c>
    </row>
    <row r="82" customFormat="false" ht="15.75" hidden="false" customHeight="false" outlineLevel="0" collapsed="false">
      <c r="A82" s="7" t="n">
        <v>45408</v>
      </c>
      <c r="B82" s="1" t="n">
        <v>171.55</v>
      </c>
      <c r="C82" s="9" t="n">
        <v>3821.35</v>
      </c>
      <c r="D82" s="9" t="n">
        <v>2044.9</v>
      </c>
      <c r="E82" s="8" t="n">
        <v>2482.75</v>
      </c>
      <c r="F82" s="9" t="n">
        <v>1326</v>
      </c>
      <c r="G82" s="11" t="n">
        <v>1612.65</v>
      </c>
      <c r="H82" s="12" t="n">
        <v>0.525427811</v>
      </c>
      <c r="I82" s="12"/>
      <c r="J82" s="12"/>
      <c r="K82" s="8" t="n">
        <f aca="false">((B82-B81)/B81)*100</f>
        <v>0.793184488836676</v>
      </c>
      <c r="L82" s="8" t="n">
        <f aca="false">((C82-C81)/C81)*100</f>
        <v>-0.800841077825656</v>
      </c>
      <c r="M82" s="8" t="n">
        <f aca="false">((D82-D81)/D81)*100</f>
        <v>-2.47752581252831</v>
      </c>
      <c r="N82" s="8" t="n">
        <f aca="false">((E82-E81)/E81)*100</f>
        <v>-3.11786627124266</v>
      </c>
      <c r="O82" s="8" t="n">
        <f aca="false">((F82-F81)/F81)*100</f>
        <v>-0.948681556734148</v>
      </c>
      <c r="P82" s="8" t="n">
        <f aca="false">((G82-G81)/G81)*100</f>
        <v>-0.392217418159352</v>
      </c>
      <c r="Q82" s="8" t="n">
        <f aca="false">((H82-H81)/H81)*100</f>
        <v>-0.3260128644041</v>
      </c>
      <c r="S82" s="9"/>
      <c r="V82" s="9" t="n">
        <f aca="false">K76-$V$4</f>
        <v>-0.0444820561787684</v>
      </c>
      <c r="W82" s="9" t="n">
        <f aca="false">L76-$W$4</f>
        <v>-0.316487303232371</v>
      </c>
      <c r="X82" s="9" t="n">
        <f aca="false">M76-$X$4</f>
        <v>-0.561381299445973</v>
      </c>
      <c r="Y82" s="9" t="n">
        <f aca="false">N76-$Y$4</f>
        <v>-3.19499306213418</v>
      </c>
      <c r="Z82" s="9" t="n">
        <f aca="false">O76-$Z$4</f>
        <v>3.86075469208965</v>
      </c>
      <c r="AA82" s="9" t="n">
        <f aca="false">P76-$AA$4</f>
        <v>1.0656576022102</v>
      </c>
      <c r="AB82" s="9" t="n">
        <f aca="false">Q76-$AB$4</f>
        <v>-1.21356248561412</v>
      </c>
    </row>
    <row r="83" customFormat="false" ht="15.75" hidden="false" customHeight="false" outlineLevel="0" collapsed="false">
      <c r="A83" s="7" t="n">
        <v>45411</v>
      </c>
      <c r="B83" s="1" t="n">
        <v>176.75</v>
      </c>
      <c r="C83" s="9" t="n">
        <v>3870.2</v>
      </c>
      <c r="D83" s="9" t="n">
        <v>2062.05</v>
      </c>
      <c r="E83" s="8" t="n">
        <v>2509.8</v>
      </c>
      <c r="F83" s="9" t="n">
        <v>1332.45</v>
      </c>
      <c r="G83" s="11" t="n">
        <v>1591.25</v>
      </c>
      <c r="H83" s="12" t="n">
        <v>0.510010494</v>
      </c>
      <c r="I83" s="12"/>
      <c r="J83" s="12"/>
      <c r="K83" s="8" t="n">
        <f aca="false">((B83-B82)/B82)*100</f>
        <v>3.03118624307781</v>
      </c>
      <c r="L83" s="8" t="n">
        <f aca="false">((C83-C82)/C82)*100</f>
        <v>1.27834404071859</v>
      </c>
      <c r="M83" s="8" t="n">
        <f aca="false">((D83-D82)/D82)*100</f>
        <v>0.838671817692801</v>
      </c>
      <c r="N83" s="8" t="n">
        <f aca="false">((E83-E82)/E82)*100</f>
        <v>1.08951767193637</v>
      </c>
      <c r="O83" s="8" t="n">
        <f aca="false">((F83-F82)/F82)*100</f>
        <v>0.486425339366519</v>
      </c>
      <c r="P83" s="8" t="n">
        <f aca="false">((G83-G82)/G82)*100</f>
        <v>-1.32700834030943</v>
      </c>
      <c r="Q83" s="8" t="n">
        <f aca="false">((H83-H82)/H82)*100</f>
        <v>-2.93424076100152</v>
      </c>
      <c r="S83" s="9"/>
      <c r="V83" s="9" t="n">
        <f aca="false">K77-$V$4</f>
        <v>-1.43501460055746</v>
      </c>
      <c r="W83" s="9" t="n">
        <f aca="false">L77-$W$4</f>
        <v>-0.964600139697097</v>
      </c>
      <c r="X83" s="9" t="n">
        <f aca="false">M77-$X$4</f>
        <v>2.61302544697773</v>
      </c>
      <c r="Y83" s="9" t="n">
        <f aca="false">N77-$Y$4</f>
        <v>-0.922620291662799</v>
      </c>
      <c r="Z83" s="9" t="n">
        <f aca="false">O77-$Z$4</f>
        <v>1.64483378944141</v>
      </c>
      <c r="AA83" s="9" t="n">
        <f aca="false">P77-$AA$4</f>
        <v>-0.260266756541431</v>
      </c>
      <c r="AB83" s="9" t="n">
        <f aca="false">Q77-$AB$4</f>
        <v>0.903679208922031</v>
      </c>
    </row>
    <row r="84" customFormat="false" ht="15.75" hidden="false" customHeight="false" outlineLevel="0" collapsed="false">
      <c r="A84" s="7" t="n">
        <v>45412</v>
      </c>
      <c r="B84" s="1" t="n">
        <v>168.85</v>
      </c>
      <c r="C84" s="9" t="n">
        <v>3820.65</v>
      </c>
      <c r="D84" s="9" t="n">
        <v>2156.35</v>
      </c>
      <c r="E84" s="8" t="n">
        <v>2507.4</v>
      </c>
      <c r="F84" s="9" t="n">
        <v>1322.3</v>
      </c>
      <c r="G84" s="11" t="n">
        <v>1588.35</v>
      </c>
      <c r="H84" s="12" t="n">
        <v>0.514870915</v>
      </c>
      <c r="I84" s="12"/>
      <c r="J84" s="12"/>
      <c r="K84" s="8" t="n">
        <f aca="false">((B84-B83)/B83)*100</f>
        <v>-4.46958981612447</v>
      </c>
      <c r="L84" s="8" t="n">
        <f aca="false">((C84-C83)/C83)*100</f>
        <v>-1.28029559195907</v>
      </c>
      <c r="M84" s="8" t="n">
        <f aca="false">((D84-D83)/D83)*100</f>
        <v>4.57311898353579</v>
      </c>
      <c r="N84" s="8" t="n">
        <f aca="false">((E84-E83)/E83)*100</f>
        <v>-0.0956251494142996</v>
      </c>
      <c r="O84" s="8" t="n">
        <f aca="false">((F84-F83)/F83)*100</f>
        <v>-0.761754662463889</v>
      </c>
      <c r="P84" s="8" t="n">
        <f aca="false">((G84-G83)/G83)*100</f>
        <v>-0.182246661429699</v>
      </c>
      <c r="Q84" s="8" t="n">
        <f aca="false">((H84-H83)/H83)*100</f>
        <v>0.953004116029044</v>
      </c>
      <c r="S84" s="9"/>
      <c r="V84" s="9" t="n">
        <f aca="false">K78-$V$4</f>
        <v>2.50577296932378</v>
      </c>
      <c r="W84" s="9" t="n">
        <f aca="false">L78-$W$4</f>
        <v>0.965987410866347</v>
      </c>
      <c r="X84" s="9" t="n">
        <f aca="false">M78-$X$4</f>
        <v>0.123303782308449</v>
      </c>
      <c r="Y84" s="9" t="n">
        <f aca="false">N78-$Y$4</f>
        <v>0.947964051501221</v>
      </c>
      <c r="Z84" s="9" t="n">
        <f aca="false">O78-$Z$4</f>
        <v>0.471283057752996</v>
      </c>
      <c r="AA84" s="9" t="n">
        <f aca="false">P78-$AA$4</f>
        <v>0.33130977808208</v>
      </c>
      <c r="AB84" s="9" t="n">
        <f aca="false">Q78-$AB$4</f>
        <v>3.62593030696026</v>
      </c>
    </row>
    <row r="85" customFormat="false" ht="15.75" hidden="false" customHeight="false" outlineLevel="0" collapsed="false">
      <c r="A85" s="7" t="n">
        <v>45414</v>
      </c>
      <c r="B85" s="1" t="n">
        <v>173.4</v>
      </c>
      <c r="C85" s="9" t="n">
        <v>3863.3</v>
      </c>
      <c r="D85" s="9" t="n">
        <v>2185.15</v>
      </c>
      <c r="E85" s="8" t="n">
        <v>2512.3</v>
      </c>
      <c r="F85" s="9" t="n">
        <v>1304.05</v>
      </c>
      <c r="G85" s="11" t="n">
        <v>1604.35</v>
      </c>
      <c r="H85" s="12" t="n">
        <v>0.516016493</v>
      </c>
      <c r="I85" s="12"/>
      <c r="J85" s="12"/>
      <c r="K85" s="8" t="n">
        <f aca="false">((B85-B84)/B84)*100</f>
        <v>2.69469943737045</v>
      </c>
      <c r="L85" s="8" t="n">
        <f aca="false">((C85-C84)/C84)*100</f>
        <v>1.11630219988746</v>
      </c>
      <c r="M85" s="8" t="n">
        <f aca="false">((D85-D84)/D84)*100</f>
        <v>1.33559023349643</v>
      </c>
      <c r="N85" s="8" t="n">
        <f aca="false">((E85-E84)/E84)*100</f>
        <v>0.195421552205475</v>
      </c>
      <c r="O85" s="8" t="n">
        <f aca="false">((F85-F84)/F84)*100</f>
        <v>-1.38017091431596</v>
      </c>
      <c r="P85" s="8" t="n">
        <f aca="false">((G85-G84)/G84)*100</f>
        <v>1.00733465546007</v>
      </c>
      <c r="Q85" s="8" t="n">
        <f aca="false">((H85-H84)/H84)*100</f>
        <v>0.222498099353685</v>
      </c>
      <c r="S85" s="9"/>
      <c r="V85" s="9" t="n">
        <f aca="false">K79-$V$4</f>
        <v>-1.68286707665859</v>
      </c>
      <c r="W85" s="9" t="n">
        <f aca="false">L79-$W$4</f>
        <v>0.223727281040176</v>
      </c>
      <c r="X85" s="9" t="n">
        <f aca="false">M79-$X$4</f>
        <v>-1.59046160156201</v>
      </c>
      <c r="Y85" s="9" t="n">
        <f aca="false">N79-$Y$4</f>
        <v>1.81708561032619</v>
      </c>
      <c r="Z85" s="9" t="n">
        <f aca="false">O79-$Z$4</f>
        <v>3.26063895402812</v>
      </c>
      <c r="AA85" s="9" t="n">
        <f aca="false">P79-$AA$4</f>
        <v>-0.110995643178908</v>
      </c>
      <c r="AB85" s="9" t="n">
        <f aca="false">Q79-$AB$4</f>
        <v>5.38842251815322</v>
      </c>
    </row>
    <row r="86" customFormat="false" ht="15.75" hidden="false" customHeight="false" outlineLevel="0" collapsed="false">
      <c r="A86" s="7" t="n">
        <v>45415</v>
      </c>
      <c r="B86" s="1" t="n">
        <v>170.75</v>
      </c>
      <c r="C86" s="9" t="n">
        <v>3843.4</v>
      </c>
      <c r="D86" s="9" t="n">
        <v>2193</v>
      </c>
      <c r="E86" s="8" t="n">
        <v>2456.1</v>
      </c>
      <c r="F86" s="9" t="n">
        <v>1277.4</v>
      </c>
      <c r="G86" s="11" t="n">
        <v>1620</v>
      </c>
      <c r="H86" s="12" t="n">
        <v>0.518377641</v>
      </c>
      <c r="I86" s="12"/>
      <c r="J86" s="12"/>
      <c r="K86" s="8" t="n">
        <f aca="false">((B86-B85)/B85)*100</f>
        <v>-1.5282583621684</v>
      </c>
      <c r="L86" s="8" t="n">
        <f aca="false">((C86-C85)/C85)*100</f>
        <v>-0.515103667848733</v>
      </c>
      <c r="M86" s="8" t="n">
        <f aca="false">((D86-D85)/D85)*100</f>
        <v>0.359243072557944</v>
      </c>
      <c r="N86" s="8" t="n">
        <f aca="false">((E86-E85)/E85)*100</f>
        <v>-2.23699398957132</v>
      </c>
      <c r="O86" s="8" t="n">
        <f aca="false">((F86-F85)/F85)*100</f>
        <v>-2.0436332962693</v>
      </c>
      <c r="P86" s="8" t="n">
        <f aca="false">((G86-G85)/G85)*100</f>
        <v>0.975472932963511</v>
      </c>
      <c r="Q86" s="8" t="n">
        <f aca="false">((H86-H85)/H85)*100</f>
        <v>0.457572196243731</v>
      </c>
      <c r="S86" s="9"/>
      <c r="V86" s="9" t="n">
        <f aca="false">K80-$V$4</f>
        <v>0.342192542274537</v>
      </c>
      <c r="W86" s="9" t="n">
        <f aca="false">L80-$W$4</f>
        <v>-1.16415812956608</v>
      </c>
      <c r="X86" s="9" t="n">
        <f aca="false">M80-$X$4</f>
        <v>-0.449975975735005</v>
      </c>
      <c r="Y86" s="9" t="n">
        <f aca="false">N80-$Y$4</f>
        <v>0.0425182635038097</v>
      </c>
      <c r="Z86" s="9" t="n">
        <f aca="false">O80-$Z$4</f>
        <v>-0.635274334692059</v>
      </c>
      <c r="AA86" s="9" t="n">
        <f aca="false">P80-$AA$4</f>
        <v>1.17722884512026</v>
      </c>
      <c r="AB86" s="9" t="n">
        <f aca="false">Q80-$AB$4</f>
        <v>-2.61078268520442</v>
      </c>
    </row>
    <row r="87" customFormat="false" ht="15.75" hidden="false" customHeight="false" outlineLevel="0" collapsed="false">
      <c r="A87" s="7" t="n">
        <v>45418</v>
      </c>
      <c r="B87" s="1" t="n">
        <v>166.25</v>
      </c>
      <c r="C87" s="9" t="n">
        <v>3921.05</v>
      </c>
      <c r="D87" s="9" t="n">
        <v>2224.95</v>
      </c>
      <c r="E87" s="8" t="n">
        <v>2457.4</v>
      </c>
      <c r="F87" s="9" t="n">
        <v>1283.4</v>
      </c>
      <c r="G87" s="11" t="n">
        <v>1597.65</v>
      </c>
      <c r="H87" s="12" t="n">
        <v>0.529497942</v>
      </c>
      <c r="I87" s="12"/>
      <c r="J87" s="12"/>
      <c r="K87" s="8" t="n">
        <f aca="false">((B87-B86)/B86)*100</f>
        <v>-2.63543191800879</v>
      </c>
      <c r="L87" s="8" t="n">
        <f aca="false">((C87-C86)/C86)*100</f>
        <v>2.02034656814279</v>
      </c>
      <c r="M87" s="8" t="n">
        <f aca="false">((D87-D86)/D86)*100</f>
        <v>1.45690834473323</v>
      </c>
      <c r="N87" s="8" t="n">
        <f aca="false">((E87-E86)/E86)*100</f>
        <v>0.0529294409836807</v>
      </c>
      <c r="O87" s="8" t="n">
        <f aca="false">((F87-F86)/F86)*100</f>
        <v>0.469704086425552</v>
      </c>
      <c r="P87" s="8" t="n">
        <f aca="false">((G87-G86)/G86)*100</f>
        <v>-1.37962962962962</v>
      </c>
      <c r="Q87" s="8" t="n">
        <f aca="false">((H87-H86)/H86)*100</f>
        <v>2.14521231636224</v>
      </c>
      <c r="S87" s="9"/>
      <c r="V87" s="9" t="n">
        <f aca="false">K81-$V$4</f>
        <v>0.814777203080484</v>
      </c>
      <c r="W87" s="9" t="n">
        <f aca="false">L81-$W$4</f>
        <v>0.514448670168261</v>
      </c>
      <c r="X87" s="9" t="n">
        <f aca="false">M81-$X$4</f>
        <v>1.61670769896263</v>
      </c>
      <c r="Y87" s="9" t="n">
        <f aca="false">N81-$Y$4</f>
        <v>2.58634628349777</v>
      </c>
      <c r="Z87" s="9" t="n">
        <f aca="false">O81-$Z$4</f>
        <v>-0.0199176693256926</v>
      </c>
      <c r="AA87" s="9" t="n">
        <f aca="false">P81-$AA$4</f>
        <v>-0.365015734762457</v>
      </c>
      <c r="AB87" s="9" t="n">
        <f aca="false">Q81-$AB$4</f>
        <v>-4.01537256458978</v>
      </c>
    </row>
    <row r="88" customFormat="false" ht="15.75" hidden="false" customHeight="false" outlineLevel="0" collapsed="false">
      <c r="A88" s="7" t="n">
        <v>45419</v>
      </c>
      <c r="B88" s="1" t="n">
        <v>160</v>
      </c>
      <c r="C88" s="9" t="n">
        <v>3978.95</v>
      </c>
      <c r="D88" s="9" t="n">
        <v>2191.5</v>
      </c>
      <c r="E88" s="8" t="n">
        <v>2508.65</v>
      </c>
      <c r="F88" s="9" t="n">
        <v>1286.15</v>
      </c>
      <c r="G88" s="11" t="n">
        <v>1597.65</v>
      </c>
      <c r="H88" s="12" t="n">
        <v>0.540402369</v>
      </c>
      <c r="I88" s="12"/>
      <c r="J88" s="12"/>
      <c r="K88" s="8" t="n">
        <f aca="false">((B88-B87)/B87)*100</f>
        <v>-3.7593984962406</v>
      </c>
      <c r="L88" s="8" t="n">
        <f aca="false">((C88-C87)/C87)*100</f>
        <v>1.47664528633911</v>
      </c>
      <c r="M88" s="8" t="n">
        <f aca="false">((D88-D87)/D87)*100</f>
        <v>-1.50340457088923</v>
      </c>
      <c r="N88" s="8" t="n">
        <f aca="false">((E88-E87)/E87)*100</f>
        <v>2.08553756002279</v>
      </c>
      <c r="O88" s="8" t="n">
        <f aca="false">((F88-F87)/F87)*100</f>
        <v>0.214274583138538</v>
      </c>
      <c r="P88" s="8" t="n">
        <f aca="false">((G88-G87)/G87)*100</f>
        <v>0</v>
      </c>
      <c r="Q88" s="8" t="n">
        <f aca="false">((H88-H87)/H87)*100</f>
        <v>2.05938987388926</v>
      </c>
      <c r="S88" s="9"/>
      <c r="V88" s="9" t="n">
        <f aca="false">K82-$V$4</f>
        <v>0.748702432657908</v>
      </c>
      <c r="W88" s="9" t="n">
        <f aca="false">L82-$W$4</f>
        <v>-0.838460378579195</v>
      </c>
      <c r="X88" s="9" t="n">
        <f aca="false">M82-$X$4</f>
        <v>-2.72629942231742</v>
      </c>
      <c r="Y88" s="9" t="n">
        <f aca="false">N82-$Y$4</f>
        <v>-3.03136999674435</v>
      </c>
      <c r="Z88" s="9" t="n">
        <f aca="false">O82-$Z$4</f>
        <v>-1.14070338649085</v>
      </c>
      <c r="AA88" s="9" t="n">
        <f aca="false">P82-$AA$4</f>
        <v>-0.372676930802135</v>
      </c>
      <c r="AB88" s="9" t="n">
        <f aca="false">Q82-$AB$4</f>
        <v>-1.00527058080725</v>
      </c>
    </row>
    <row r="89" customFormat="false" ht="15.75" hidden="false" customHeight="false" outlineLevel="0" collapsed="false">
      <c r="A89" s="7" t="n">
        <v>45420</v>
      </c>
      <c r="B89" s="1" t="n">
        <v>163.15</v>
      </c>
      <c r="C89" s="9" t="n">
        <v>3976.95</v>
      </c>
      <c r="D89" s="9" t="n">
        <v>2182.4</v>
      </c>
      <c r="E89" s="8" t="n">
        <v>2539</v>
      </c>
      <c r="F89" s="9" t="n">
        <v>1288.6</v>
      </c>
      <c r="G89" s="11" t="n">
        <v>1608.5</v>
      </c>
      <c r="H89" s="12" t="n">
        <v>0.524688375</v>
      </c>
      <c r="I89" s="12"/>
      <c r="J89" s="12"/>
      <c r="K89" s="8" t="n">
        <f aca="false">((B89-B88)/B88)*100</f>
        <v>1.96875</v>
      </c>
      <c r="L89" s="8" t="n">
        <f aca="false">((C89-C88)/C88)*100</f>
        <v>-0.0502645170208221</v>
      </c>
      <c r="M89" s="8" t="n">
        <f aca="false">((D89-D88)/D88)*100</f>
        <v>-0.415240702715031</v>
      </c>
      <c r="N89" s="8" t="n">
        <f aca="false">((E89-E88)/E88)*100</f>
        <v>1.2098140434098</v>
      </c>
      <c r="O89" s="8" t="n">
        <f aca="false">((F89-F88)/F88)*100</f>
        <v>0.190491000272116</v>
      </c>
      <c r="P89" s="8" t="n">
        <f aca="false">((G89-G88)/G88)*100</f>
        <v>0.679122461114757</v>
      </c>
      <c r="Q89" s="8" t="n">
        <f aca="false">((H89-H88)/H88)*100</f>
        <v>-2.90783218235671</v>
      </c>
      <c r="S89" s="9"/>
      <c r="V89" s="9" t="n">
        <f aca="false">K83-$V$4</f>
        <v>2.98670418689904</v>
      </c>
      <c r="W89" s="9" t="n">
        <f aca="false">L83-$W$4</f>
        <v>1.24072473996505</v>
      </c>
      <c r="X89" s="9" t="n">
        <f aca="false">M83-$X$4</f>
        <v>0.589898207903694</v>
      </c>
      <c r="Y89" s="9" t="n">
        <f aca="false">N83-$Y$4</f>
        <v>1.17601394643468</v>
      </c>
      <c r="Z89" s="9" t="n">
        <f aca="false">O83-$Z$4</f>
        <v>0.294403509609821</v>
      </c>
      <c r="AA89" s="9" t="n">
        <f aca="false">P83-$AA$4</f>
        <v>-1.30746785295222</v>
      </c>
      <c r="AB89" s="9" t="n">
        <f aca="false">Q83-$AB$4</f>
        <v>-3.61349847740467</v>
      </c>
    </row>
    <row r="90" customFormat="false" ht="15.75" hidden="false" customHeight="false" outlineLevel="0" collapsed="false">
      <c r="A90" s="7" t="n">
        <v>45421</v>
      </c>
      <c r="B90" s="1" t="n">
        <v>156.6</v>
      </c>
      <c r="C90" s="9" t="n">
        <v>3960.2</v>
      </c>
      <c r="D90" s="9" t="n">
        <v>2212.55</v>
      </c>
      <c r="E90" s="8" t="n">
        <v>2513.45</v>
      </c>
      <c r="F90" s="9" t="n">
        <v>1275.45</v>
      </c>
      <c r="G90" s="11" t="n">
        <v>1611</v>
      </c>
      <c r="H90" s="12" t="n">
        <v>0.517824089</v>
      </c>
      <c r="I90" s="12"/>
      <c r="J90" s="12"/>
      <c r="K90" s="8" t="n">
        <f aca="false">((B90-B89)/B89)*100</f>
        <v>-4.01471038921239</v>
      </c>
      <c r="L90" s="8" t="n">
        <f aca="false">((C90-C89)/C89)*100</f>
        <v>-0.421177032650649</v>
      </c>
      <c r="M90" s="8" t="n">
        <f aca="false">((D90-D89)/D89)*100</f>
        <v>1.38150659824047</v>
      </c>
      <c r="N90" s="8" t="n">
        <f aca="false">((E90-E89)/E89)*100</f>
        <v>-1.00630169358016</v>
      </c>
      <c r="O90" s="8" t="n">
        <f aca="false">((F90-F89)/F89)*100</f>
        <v>-1.02048735061306</v>
      </c>
      <c r="P90" s="8" t="n">
        <f aca="false">((G90-G89)/G89)*100</f>
        <v>0.155424308361828</v>
      </c>
      <c r="Q90" s="8" t="n">
        <f aca="false">((H90-H89)/H89)*100</f>
        <v>-1.30825959313469</v>
      </c>
      <c r="S90" s="9"/>
      <c r="V90" s="9" t="n">
        <f aca="false">K84-$V$4</f>
        <v>-4.51407187230324</v>
      </c>
      <c r="W90" s="9" t="n">
        <f aca="false">L84-$W$4</f>
        <v>-1.3179148927126</v>
      </c>
      <c r="X90" s="9" t="n">
        <f aca="false">M84-$X$4</f>
        <v>4.32434537374668</v>
      </c>
      <c r="Y90" s="9" t="n">
        <f aca="false">N84-$Y$4</f>
        <v>-0.00912887491599078</v>
      </c>
      <c r="Z90" s="9" t="n">
        <f aca="false">O84-$Z$4</f>
        <v>-0.953776492220587</v>
      </c>
      <c r="AA90" s="9" t="n">
        <f aca="false">P84-$AA$4</f>
        <v>-0.162706174072483</v>
      </c>
      <c r="AB90" s="9" t="n">
        <f aca="false">Q84-$AB$4</f>
        <v>0.273746399625895</v>
      </c>
    </row>
    <row r="91" customFormat="false" ht="15.75" hidden="false" customHeight="false" outlineLevel="0" collapsed="false">
      <c r="A91" s="7" t="n">
        <v>45422</v>
      </c>
      <c r="B91" s="1" t="n">
        <v>158.95</v>
      </c>
      <c r="C91" s="9" t="n">
        <v>3893.9</v>
      </c>
      <c r="D91" s="9" t="n">
        <v>2193.05</v>
      </c>
      <c r="E91" s="8" t="n">
        <v>2533.2</v>
      </c>
      <c r="F91" s="9" t="n">
        <v>1301.15</v>
      </c>
      <c r="G91" s="11" t="n">
        <v>1617.35</v>
      </c>
      <c r="H91" s="12" t="n">
        <v>0.521111843</v>
      </c>
      <c r="I91" s="12"/>
      <c r="J91" s="12"/>
      <c r="K91" s="8" t="n">
        <f aca="false">((B91-B90)/B90)*100</f>
        <v>1.50063856960408</v>
      </c>
      <c r="L91" s="8" t="n">
        <f aca="false">((C91-C90)/C90)*100</f>
        <v>-1.6741578708146</v>
      </c>
      <c r="M91" s="8" t="n">
        <f aca="false">((D91-D90)/D90)*100</f>
        <v>-0.88133601500531</v>
      </c>
      <c r="N91" s="8" t="n">
        <f aca="false">((E91-E90)/E90)*100</f>
        <v>0.785772543714814</v>
      </c>
      <c r="O91" s="8" t="n">
        <f aca="false">((F91-F90)/F90)*100</f>
        <v>2.01497510682505</v>
      </c>
      <c r="P91" s="8" t="n">
        <f aca="false">((G91-G90)/G90)*100</f>
        <v>0.3941651148355</v>
      </c>
      <c r="Q91" s="8" t="n">
        <f aca="false">((H91-H90)/H90)*100</f>
        <v>0.634917160062832</v>
      </c>
      <c r="S91" s="9"/>
      <c r="V91" s="9" t="n">
        <f aca="false">K85-$V$4</f>
        <v>2.65021738119169</v>
      </c>
      <c r="W91" s="9" t="n">
        <f aca="false">L85-$W$4</f>
        <v>1.07868289913392</v>
      </c>
      <c r="X91" s="9" t="n">
        <f aca="false">M85-$X$4</f>
        <v>1.08681662370732</v>
      </c>
      <c r="Y91" s="9" t="n">
        <f aca="false">N85-$Y$4</f>
        <v>0.281917826703784</v>
      </c>
      <c r="Z91" s="9" t="n">
        <f aca="false">O85-$Z$4</f>
        <v>-1.57219274407266</v>
      </c>
      <c r="AA91" s="9" t="n">
        <f aca="false">P85-$AA$4</f>
        <v>1.02687514281729</v>
      </c>
      <c r="AB91" s="9" t="n">
        <f aca="false">Q85-$AB$4</f>
        <v>-0.456759617049464</v>
      </c>
    </row>
    <row r="92" customFormat="false" ht="15.75" hidden="false" customHeight="false" outlineLevel="0" collapsed="false">
      <c r="A92" s="7" t="n">
        <v>45425</v>
      </c>
      <c r="B92" s="1" t="n">
        <v>158.2</v>
      </c>
      <c r="C92" s="9" t="n">
        <v>3947.8</v>
      </c>
      <c r="D92" s="9" t="n">
        <v>2184.25</v>
      </c>
      <c r="E92" s="8" t="n">
        <v>2516.25</v>
      </c>
      <c r="F92" s="9" t="n">
        <v>1285.95</v>
      </c>
      <c r="G92" s="11" t="n">
        <v>1628.35</v>
      </c>
      <c r="H92" s="12" t="n">
        <v>0.499639015</v>
      </c>
      <c r="I92" s="12"/>
      <c r="J92" s="12"/>
      <c r="K92" s="8" t="n">
        <f aca="false">((B92-B91)/B91)*100</f>
        <v>-0.471846492607738</v>
      </c>
      <c r="L92" s="8" t="n">
        <f aca="false">((C92-C91)/C91)*100</f>
        <v>1.38421633837541</v>
      </c>
      <c r="M92" s="8" t="n">
        <f aca="false">((D92-D91)/D91)*100</f>
        <v>-0.401267640956667</v>
      </c>
      <c r="N92" s="8" t="n">
        <f aca="false">((E92-E91)/E91)*100</f>
        <v>-0.669114163903356</v>
      </c>
      <c r="O92" s="8" t="n">
        <f aca="false">((F92-F91)/F91)*100</f>
        <v>-1.16819736387043</v>
      </c>
      <c r="P92" s="8" t="n">
        <f aca="false">((G92-G91)/G91)*100</f>
        <v>0.680124895662658</v>
      </c>
      <c r="Q92" s="8" t="n">
        <f aca="false">((H92-H91)/H91)*100</f>
        <v>-4.12057954322869</v>
      </c>
      <c r="S92" s="9"/>
      <c r="V92" s="9" t="n">
        <f aca="false">K86-$V$4</f>
        <v>-1.57274041834717</v>
      </c>
      <c r="W92" s="9" t="n">
        <f aca="false">L86-$W$4</f>
        <v>-0.552722968602272</v>
      </c>
      <c r="X92" s="9" t="n">
        <f aca="false">M86-$X$4</f>
        <v>0.110469462768837</v>
      </c>
      <c r="Y92" s="9" t="n">
        <f aca="false">N86-$Y$4</f>
        <v>-2.15049771507301</v>
      </c>
      <c r="Z92" s="9" t="n">
        <f aca="false">O86-$Z$4</f>
        <v>-2.235655126026</v>
      </c>
      <c r="AA92" s="9" t="n">
        <f aca="false">P86-$AA$4</f>
        <v>0.995013420320728</v>
      </c>
      <c r="AB92" s="9" t="n">
        <f aca="false">Q86-$AB$4</f>
        <v>-0.221685520159418</v>
      </c>
    </row>
    <row r="93" customFormat="false" ht="15.75" hidden="false" customHeight="false" outlineLevel="0" collapsed="false">
      <c r="A93" s="7" t="n">
        <v>45426</v>
      </c>
      <c r="B93" s="1" t="n">
        <v>159.35</v>
      </c>
      <c r="C93" s="9" t="n">
        <v>3901.2</v>
      </c>
      <c r="D93" s="9" t="n">
        <v>2269.9</v>
      </c>
      <c r="E93" s="8" t="n">
        <v>2487.35</v>
      </c>
      <c r="F93" s="9" t="n">
        <v>1284.3</v>
      </c>
      <c r="G93" s="11" t="n">
        <v>1654</v>
      </c>
      <c r="H93" s="12" t="n">
        <v>0.504534406</v>
      </c>
      <c r="I93" s="12"/>
      <c r="J93" s="12"/>
      <c r="K93" s="8" t="n">
        <f aca="false">((B93-B92)/B92)*100</f>
        <v>0.726927939317324</v>
      </c>
      <c r="L93" s="8" t="n">
        <f aca="false">((C93-C92)/C92)*100</f>
        <v>-1.18040427579919</v>
      </c>
      <c r="M93" s="8" t="n">
        <f aca="false">((D93-D92)/D92)*100</f>
        <v>3.92125443516081</v>
      </c>
      <c r="N93" s="8" t="n">
        <f aca="false">((E93-E92)/E92)*100</f>
        <v>-1.14853452558371</v>
      </c>
      <c r="O93" s="8" t="n">
        <f aca="false">((F93-F92)/F92)*100</f>
        <v>-0.128309809868198</v>
      </c>
      <c r="P93" s="8" t="n">
        <f aca="false">((G93-G92)/G92)*100</f>
        <v>1.57521417385698</v>
      </c>
      <c r="Q93" s="8" t="n">
        <f aca="false">((H93-H92)/H92)*100</f>
        <v>0.979785575792149</v>
      </c>
      <c r="S93" s="9"/>
      <c r="V93" s="9" t="n">
        <f aca="false">K87-$V$4</f>
        <v>-2.67991397418755</v>
      </c>
      <c r="W93" s="9" t="n">
        <f aca="false">L87-$W$4</f>
        <v>1.98272726738925</v>
      </c>
      <c r="X93" s="9" t="n">
        <f aca="false">M87-$X$4</f>
        <v>1.20813473494413</v>
      </c>
      <c r="Y93" s="9" t="n">
        <f aca="false">N87-$Y$4</f>
        <v>0.13942571548199</v>
      </c>
      <c r="Z93" s="9" t="n">
        <f aca="false">O87-$Z$4</f>
        <v>0.277682256668854</v>
      </c>
      <c r="AA93" s="9" t="n">
        <f aca="false">P87-$AA$4</f>
        <v>-1.36008914227241</v>
      </c>
      <c r="AB93" s="9" t="n">
        <f aca="false">Q87-$AB$4</f>
        <v>1.46595459995909</v>
      </c>
    </row>
    <row r="94" customFormat="false" ht="15.75" hidden="false" customHeight="false" outlineLevel="0" collapsed="false">
      <c r="A94" s="7" t="n">
        <v>45427</v>
      </c>
      <c r="B94" s="1" t="n">
        <v>161.8</v>
      </c>
      <c r="C94" s="9" t="n">
        <v>3880.4</v>
      </c>
      <c r="D94" s="9" t="n">
        <v>2302.3</v>
      </c>
      <c r="E94" s="8" t="n">
        <v>2465</v>
      </c>
      <c r="F94" s="9" t="n">
        <v>1309.9</v>
      </c>
      <c r="G94" s="11" t="n">
        <v>1723.5</v>
      </c>
      <c r="H94" s="12" t="n">
        <v>0.499702672</v>
      </c>
      <c r="I94" s="12"/>
      <c r="J94" s="12"/>
      <c r="K94" s="8" t="n">
        <f aca="false">((B94-B93)/B93)*100</f>
        <v>1.53749607781614</v>
      </c>
      <c r="L94" s="8" t="n">
        <f aca="false">((C94-C93)/C93)*100</f>
        <v>-0.533169281246789</v>
      </c>
      <c r="M94" s="8" t="n">
        <f aca="false">((D94-D93)/D93)*100</f>
        <v>1.42737565531522</v>
      </c>
      <c r="N94" s="8" t="n">
        <f aca="false">((E94-E93)/E93)*100</f>
        <v>-0.898546646028903</v>
      </c>
      <c r="O94" s="8" t="n">
        <f aca="false">((F94-F93)/F93)*100</f>
        <v>1.99330374523088</v>
      </c>
      <c r="P94" s="8" t="n">
        <f aca="false">((G94-G93)/G93)*100</f>
        <v>4.20193470374849</v>
      </c>
      <c r="Q94" s="8" t="n">
        <f aca="false">((H94-H93)/H93)*100</f>
        <v>-0.95766194387147</v>
      </c>
      <c r="S94" s="9"/>
      <c r="V94" s="9" t="n">
        <f aca="false">K88-$V$4</f>
        <v>-3.80388055241937</v>
      </c>
      <c r="W94" s="9" t="n">
        <f aca="false">L88-$W$4</f>
        <v>1.43902598558557</v>
      </c>
      <c r="X94" s="9" t="n">
        <f aca="false">M88-$X$4</f>
        <v>-1.75217818067833</v>
      </c>
      <c r="Y94" s="9" t="n">
        <f aca="false">N88-$Y$4</f>
        <v>2.1720338345211</v>
      </c>
      <c r="Z94" s="9" t="n">
        <f aca="false">O88-$Z$4</f>
        <v>0.0222527533818404</v>
      </c>
      <c r="AA94" s="9" t="n">
        <f aca="false">P88-$AA$4</f>
        <v>0.0195404873572167</v>
      </c>
      <c r="AB94" s="9" t="n">
        <f aca="false">Q88-$AB$4</f>
        <v>1.38013215748612</v>
      </c>
    </row>
    <row r="95" customFormat="false" ht="15.75" hidden="false" customHeight="false" outlineLevel="0" collapsed="false">
      <c r="A95" s="7" t="n">
        <v>45428</v>
      </c>
      <c r="B95" s="1" t="n">
        <v>162.85</v>
      </c>
      <c r="C95" s="9" t="n">
        <v>3900.95</v>
      </c>
      <c r="D95" s="9" t="n">
        <v>2371.75</v>
      </c>
      <c r="E95" s="8" t="n">
        <v>2468.35</v>
      </c>
      <c r="F95" s="9" t="n">
        <v>1345.1</v>
      </c>
      <c r="G95" s="11" t="n">
        <v>1790.6</v>
      </c>
      <c r="H95" s="12" t="n">
        <v>0.51859415</v>
      </c>
      <c r="I95" s="12"/>
      <c r="J95" s="12"/>
      <c r="K95" s="8" t="n">
        <f aca="false">((B95-B94)/B94)*100</f>
        <v>0.648949320148321</v>
      </c>
      <c r="L95" s="8" t="n">
        <f aca="false">((C95-C94)/C94)*100</f>
        <v>0.529584578909384</v>
      </c>
      <c r="M95" s="8" t="n">
        <f aca="false">((D95-D94)/D94)*100</f>
        <v>3.01654866872257</v>
      </c>
      <c r="N95" s="8" t="n">
        <f aca="false">((E95-E94)/E94)*100</f>
        <v>0.135902636916832</v>
      </c>
      <c r="O95" s="8" t="n">
        <f aca="false">((F95-F94)/F94)*100</f>
        <v>2.68722803267424</v>
      </c>
      <c r="P95" s="8" t="n">
        <f aca="false">((G95-G94)/G94)*100</f>
        <v>3.89324049898462</v>
      </c>
      <c r="Q95" s="8" t="n">
        <f aca="false">((H95-H94)/H94)*100</f>
        <v>3.78054372300814</v>
      </c>
      <c r="S95" s="9"/>
      <c r="V95" s="9" t="n">
        <f aca="false">K89-$V$4</f>
        <v>1.92426794382124</v>
      </c>
      <c r="W95" s="9" t="n">
        <f aca="false">L89-$W$4</f>
        <v>-0.0878838177743616</v>
      </c>
      <c r="X95" s="9" t="n">
        <f aca="false">M89-$X$4</f>
        <v>-0.664014312504138</v>
      </c>
      <c r="Y95" s="9" t="n">
        <f aca="false">N89-$Y$4</f>
        <v>1.29631031790811</v>
      </c>
      <c r="Z95" s="9" t="n">
        <f aca="false">O89-$Z$4</f>
        <v>-0.00153082948458205</v>
      </c>
      <c r="AA95" s="9" t="n">
        <f aca="false">P89-$AA$4</f>
        <v>0.698662948471973</v>
      </c>
      <c r="AB95" s="9" t="n">
        <f aca="false">Q89-$AB$4</f>
        <v>-3.58708989875986</v>
      </c>
    </row>
    <row r="96" customFormat="false" ht="15.75" hidden="false" customHeight="false" outlineLevel="0" collapsed="false">
      <c r="A96" s="7" t="n">
        <v>45429</v>
      </c>
      <c r="B96" s="1" t="n">
        <v>164.05</v>
      </c>
      <c r="C96" s="9" t="n">
        <v>3834.1</v>
      </c>
      <c r="D96" s="9" t="n">
        <v>2514.6</v>
      </c>
      <c r="E96" s="8" t="n">
        <v>2445.5</v>
      </c>
      <c r="F96" s="9" t="n">
        <v>1344.45</v>
      </c>
      <c r="G96" s="11" t="n">
        <v>1754</v>
      </c>
      <c r="H96" s="12" t="n">
        <v>0.515796241</v>
      </c>
      <c r="I96" s="12"/>
      <c r="J96" s="12"/>
      <c r="K96" s="8" t="n">
        <f aca="false">((B96-B95)/B95)*100</f>
        <v>0.736874424316866</v>
      </c>
      <c r="L96" s="8" t="n">
        <f aca="false">((C96-C95)/C95)*100</f>
        <v>-1.71368512798164</v>
      </c>
      <c r="M96" s="8" t="n">
        <f aca="false">((D96-D95)/D95)*100</f>
        <v>6.02297881311268</v>
      </c>
      <c r="N96" s="8" t="n">
        <f aca="false">((E96-E95)/E95)*100</f>
        <v>-0.925719610265964</v>
      </c>
      <c r="O96" s="8" t="n">
        <f aca="false">((F96-F95)/F95)*100</f>
        <v>-0.0483235447178547</v>
      </c>
      <c r="P96" s="8" t="n">
        <f aca="false">((G96-G95)/G95)*100</f>
        <v>-2.04400759521947</v>
      </c>
      <c r="Q96" s="8" t="n">
        <f aca="false">((H96-H95)/H95)*100</f>
        <v>-0.53951804122742</v>
      </c>
      <c r="S96" s="9"/>
      <c r="V96" s="9" t="n">
        <f aca="false">K90-$V$4</f>
        <v>-4.05919244539116</v>
      </c>
      <c r="W96" s="9" t="n">
        <f aca="false">L90-$W$4</f>
        <v>-0.458796333404189</v>
      </c>
      <c r="X96" s="9" t="n">
        <f aca="false">M90-$X$4</f>
        <v>1.13273298845137</v>
      </c>
      <c r="Y96" s="9" t="n">
        <f aca="false">N90-$Y$4</f>
        <v>-0.919805419081848</v>
      </c>
      <c r="Z96" s="9" t="n">
        <f aca="false">O90-$Z$4</f>
        <v>-1.21250918036976</v>
      </c>
      <c r="AA96" s="9" t="n">
        <f aca="false">P90-$AA$4</f>
        <v>0.174964795719045</v>
      </c>
      <c r="AB96" s="9" t="n">
        <f aca="false">Q90-$AB$4</f>
        <v>-1.98751730953784</v>
      </c>
    </row>
    <row r="97" customFormat="false" ht="15.75" hidden="false" customHeight="false" outlineLevel="0" collapsed="false">
      <c r="A97" s="7" t="n">
        <v>45430</v>
      </c>
      <c r="B97" s="1" t="n">
        <v>164.9</v>
      </c>
      <c r="C97" s="9" t="n">
        <v>3851.45</v>
      </c>
      <c r="D97" s="9" t="n">
        <v>2503.7</v>
      </c>
      <c r="E97" s="8" t="n">
        <v>2504.4</v>
      </c>
      <c r="F97" s="9" t="n">
        <v>1347.75</v>
      </c>
      <c r="G97" s="21" t="n">
        <v>1728.65</v>
      </c>
      <c r="H97" s="12" t="n">
        <v>0.524203183</v>
      </c>
      <c r="I97" s="12"/>
      <c r="J97" s="12"/>
      <c r="K97" s="8" t="n">
        <f aca="false">((B97-B96)/B96)*100</f>
        <v>0.518134715025903</v>
      </c>
      <c r="L97" s="8" t="n">
        <f aca="false">((C97-C96)/C96)*100</f>
        <v>0.452518192013769</v>
      </c>
      <c r="M97" s="8" t="n">
        <f aca="false">((D97-D96)/D96)*100</f>
        <v>-0.433468543704768</v>
      </c>
      <c r="N97" s="8" t="n">
        <f aca="false">((E97-E96)/E96)*100</f>
        <v>2.40850541811491</v>
      </c>
      <c r="O97" s="8" t="n">
        <f aca="false">((F97-F96)/F96)*100</f>
        <v>0.245453531183752</v>
      </c>
      <c r="P97" s="8" t="n">
        <f aca="false">((G97-G96)/G96)*100</f>
        <v>-1.44526795895096</v>
      </c>
      <c r="Q97" s="8" t="n">
        <f aca="false">((H97-H96)/H96)*100</f>
        <v>1.62989594179691</v>
      </c>
      <c r="S97" s="9"/>
      <c r="V97" s="9" t="n">
        <f aca="false">K91-$V$4</f>
        <v>1.45615651342532</v>
      </c>
      <c r="W97" s="9" t="n">
        <f aca="false">L91-$W$4</f>
        <v>-1.71177717156814</v>
      </c>
      <c r="X97" s="9" t="n">
        <f aca="false">M91-$X$4</f>
        <v>-1.13010962479442</v>
      </c>
      <c r="Y97" s="9" t="n">
        <f aca="false">N91-$Y$4</f>
        <v>0.872268818213123</v>
      </c>
      <c r="Z97" s="9" t="n">
        <f aca="false">O91-$Z$4</f>
        <v>1.82295327706835</v>
      </c>
      <c r="AA97" s="9" t="n">
        <f aca="false">P91-$AA$4</f>
        <v>0.413705602192717</v>
      </c>
      <c r="AB97" s="9" t="n">
        <f aca="false">Q91-$AB$4</f>
        <v>-0.0443405563403168</v>
      </c>
    </row>
    <row r="98" customFormat="false" ht="15.75" hidden="false" customHeight="false" outlineLevel="0" collapsed="false">
      <c r="A98" s="7" t="n">
        <v>45433</v>
      </c>
      <c r="B98" s="1" t="n">
        <v>166.9</v>
      </c>
      <c r="C98" s="9" t="n">
        <v>3820.2</v>
      </c>
      <c r="D98" s="9" t="n">
        <v>2522.65</v>
      </c>
      <c r="E98" s="8" t="n">
        <v>2460.8</v>
      </c>
      <c r="F98" s="9" t="n">
        <v>1344.3</v>
      </c>
      <c r="G98" s="22" t="n">
        <v>1715.5</v>
      </c>
      <c r="H98" s="12" t="n">
        <v>0.537264812</v>
      </c>
      <c r="I98" s="12"/>
      <c r="J98" s="12"/>
      <c r="K98" s="8" t="n">
        <f aca="false">((B98-B97)/B97)*100</f>
        <v>1.21285627653123</v>
      </c>
      <c r="L98" s="8" t="n">
        <f aca="false">((C98-C97)/C97)*100</f>
        <v>-0.811382725986317</v>
      </c>
      <c r="M98" s="8" t="n">
        <f aca="false">((D98-D97)/D97)*100</f>
        <v>0.756879817869564</v>
      </c>
      <c r="N98" s="8" t="n">
        <f aca="false">((E98-E97)/E97)*100</f>
        <v>-1.7409359527232</v>
      </c>
      <c r="O98" s="8" t="n">
        <f aca="false">((F98-F97)/F97)*100</f>
        <v>-0.255982192543131</v>
      </c>
      <c r="P98" s="8" t="n">
        <f aca="false">((G98-G97)/G97)*100</f>
        <v>-0.7607092239609</v>
      </c>
      <c r="Q98" s="8" t="n">
        <f aca="false">((H98-H97)/H97)*100</f>
        <v>2.49171111957936</v>
      </c>
      <c r="S98" s="9"/>
      <c r="V98" s="9" t="n">
        <f aca="false">K92-$V$4</f>
        <v>-0.516328548786507</v>
      </c>
      <c r="W98" s="9" t="n">
        <f aca="false">L92-$W$4</f>
        <v>1.34659703762187</v>
      </c>
      <c r="X98" s="9" t="n">
        <f aca="false">M92-$X$4</f>
        <v>-0.650041250745774</v>
      </c>
      <c r="Y98" s="9" t="n">
        <f aca="false">N92-$Y$4</f>
        <v>-0.582617889405047</v>
      </c>
      <c r="Z98" s="9" t="n">
        <f aca="false">O92-$Z$4</f>
        <v>-1.36021919362712</v>
      </c>
      <c r="AA98" s="9" t="n">
        <f aca="false">P92-$AA$4</f>
        <v>0.699665383019875</v>
      </c>
      <c r="AB98" s="9" t="n">
        <f aca="false">Q92-$AB$4</f>
        <v>-4.79983725963184</v>
      </c>
    </row>
    <row r="99" customFormat="false" ht="15.75" hidden="false" customHeight="false" outlineLevel="0" collapsed="false">
      <c r="A99" s="7" t="n">
        <v>45434</v>
      </c>
      <c r="B99" s="1" t="n">
        <v>166.95</v>
      </c>
      <c r="C99" s="9" t="n">
        <v>3832</v>
      </c>
      <c r="D99" s="9" t="n">
        <v>2521.05</v>
      </c>
      <c r="E99" s="8" t="n">
        <v>2469.15</v>
      </c>
      <c r="F99" s="9" t="n">
        <v>1347.9</v>
      </c>
      <c r="G99" s="11" t="n">
        <v>1708.25</v>
      </c>
      <c r="H99" s="12" t="n">
        <v>0.53700221</v>
      </c>
      <c r="I99" s="12"/>
      <c r="J99" s="12"/>
      <c r="K99" s="8" t="n">
        <f aca="false">((B99-B98)/B98)*100</f>
        <v>0.0299580587177849</v>
      </c>
      <c r="L99" s="8" t="n">
        <f aca="false">((C99-C98)/C98)*100</f>
        <v>0.308884351604633</v>
      </c>
      <c r="M99" s="8" t="n">
        <f aca="false">((D99-D98)/D98)*100</f>
        <v>-0.063425366182384</v>
      </c>
      <c r="N99" s="8" t="n">
        <f aca="false">((E99-E98)/E98)*100</f>
        <v>0.339320546163845</v>
      </c>
      <c r="O99" s="8" t="n">
        <f aca="false">((F99-F98)/F98)*100</f>
        <v>0.267797366659238</v>
      </c>
      <c r="P99" s="8" t="n">
        <f aca="false">((G99-G98)/G98)*100</f>
        <v>-0.422617312736811</v>
      </c>
      <c r="Q99" s="8" t="n">
        <f aca="false">((H99-H98)/H98)*100</f>
        <v>-0.0488775728718197</v>
      </c>
      <c r="S99" s="9"/>
      <c r="V99" s="9" t="n">
        <f aca="false">K93-$V$4</f>
        <v>0.682445883138555</v>
      </c>
      <c r="W99" s="9" t="n">
        <f aca="false">L93-$W$4</f>
        <v>-1.21802357655273</v>
      </c>
      <c r="X99" s="9" t="n">
        <f aca="false">M93-$X$4</f>
        <v>3.67248082537171</v>
      </c>
      <c r="Y99" s="9" t="n">
        <f aca="false">N93-$Y$4</f>
        <v>-1.0620382510854</v>
      </c>
      <c r="Z99" s="9" t="n">
        <f aca="false">O93-$Z$4</f>
        <v>-0.320331639624896</v>
      </c>
      <c r="AA99" s="9" t="n">
        <f aca="false">P93-$AA$4</f>
        <v>1.59475466121419</v>
      </c>
      <c r="AB99" s="9" t="n">
        <f aca="false">Q93-$AB$4</f>
        <v>0.300527859389</v>
      </c>
    </row>
    <row r="100" customFormat="false" ht="15.75" hidden="false" customHeight="false" outlineLevel="0" collapsed="false">
      <c r="A100" s="7" t="n">
        <v>45435</v>
      </c>
      <c r="B100" s="1" t="n">
        <v>167.95</v>
      </c>
      <c r="C100" s="9" t="n">
        <v>3893.45</v>
      </c>
      <c r="D100" s="9" t="n">
        <v>2609.2</v>
      </c>
      <c r="E100" s="8" t="n">
        <v>2474.15</v>
      </c>
      <c r="F100" s="9" t="n">
        <v>1374.05</v>
      </c>
      <c r="G100" s="11" t="n">
        <v>1707.65</v>
      </c>
      <c r="H100" s="12" t="n">
        <v>0.526543821</v>
      </c>
      <c r="I100" s="12"/>
      <c r="J100" s="12"/>
      <c r="K100" s="8" t="n">
        <f aca="false">((B100-B99)/B99)*100</f>
        <v>0.598981731057203</v>
      </c>
      <c r="L100" s="8" t="n">
        <f aca="false">((C100-C99)/C99)*100</f>
        <v>1.6036012526096</v>
      </c>
      <c r="M100" s="8" t="n">
        <f aca="false">((D100-D99)/D99)*100</f>
        <v>3.49655897344359</v>
      </c>
      <c r="N100" s="8" t="n">
        <f aca="false">((E100-E99)/E99)*100</f>
        <v>0.202498835631695</v>
      </c>
      <c r="O100" s="8" t="n">
        <f aca="false">((F100-F99)/F99)*100</f>
        <v>1.94005490021514</v>
      </c>
      <c r="P100" s="8" t="n">
        <f aca="false">((G100-G99)/G99)*100</f>
        <v>-0.035123664568998</v>
      </c>
      <c r="Q100" s="8" t="n">
        <f aca="false">((H100-H99)/H99)*100</f>
        <v>-1.94755045793947</v>
      </c>
      <c r="S100" s="9"/>
      <c r="V100" s="9" t="n">
        <f aca="false">K94-$V$4</f>
        <v>1.49301402163737</v>
      </c>
      <c r="W100" s="9" t="n">
        <f aca="false">L94-$W$4</f>
        <v>-0.570788582000328</v>
      </c>
      <c r="X100" s="9" t="n">
        <f aca="false">M94-$X$4</f>
        <v>1.17860204552611</v>
      </c>
      <c r="Y100" s="9" t="n">
        <f aca="false">N94-$Y$4</f>
        <v>-0.812050371530594</v>
      </c>
      <c r="Z100" s="9" t="n">
        <f aca="false">O94-$Z$4</f>
        <v>1.80128191547418</v>
      </c>
      <c r="AA100" s="9" t="n">
        <f aca="false">P94-$AA$4</f>
        <v>4.22147519110571</v>
      </c>
      <c r="AB100" s="9" t="n">
        <f aca="false">Q94-$AB$4</f>
        <v>-1.63691966027462</v>
      </c>
    </row>
    <row r="101" customFormat="false" ht="15.75" hidden="false" customHeight="false" outlineLevel="0" collapsed="false">
      <c r="A101" s="7" t="n">
        <v>45436</v>
      </c>
      <c r="B101" s="1" t="n">
        <v>168.8</v>
      </c>
      <c r="C101" s="9" t="n">
        <v>3849.5</v>
      </c>
      <c r="D101" s="9" t="n">
        <v>2579.75</v>
      </c>
      <c r="E101" s="8" t="n">
        <v>2467.75</v>
      </c>
      <c r="F101" s="9" t="n">
        <v>1388.5</v>
      </c>
      <c r="G101" s="11" t="n">
        <v>1714.35</v>
      </c>
      <c r="H101" s="12" t="n">
        <v>0.529068823</v>
      </c>
      <c r="I101" s="12"/>
      <c r="J101" s="12"/>
      <c r="K101" s="8" t="n">
        <f aca="false">((B101-B100)/B100)*100</f>
        <v>0.50610300684729</v>
      </c>
      <c r="L101" s="8" t="n">
        <f aca="false">((C101-C100)/C100)*100</f>
        <v>-1.12881891381679</v>
      </c>
      <c r="M101" s="8" t="n">
        <f aca="false">((D101-D100)/D100)*100</f>
        <v>-1.12869845163268</v>
      </c>
      <c r="N101" s="8" t="n">
        <f aca="false">((E101-E100)/E100)*100</f>
        <v>-0.25867469636037</v>
      </c>
      <c r="O101" s="8" t="n">
        <f aca="false">((F101-F100)/F100)*100</f>
        <v>1.05163567555766</v>
      </c>
      <c r="P101" s="8" t="n">
        <f aca="false">((G101-G100)/G100)*100</f>
        <v>0.392352062776319</v>
      </c>
      <c r="Q101" s="8" t="n">
        <f aca="false">((H101-H100)/H100)*100</f>
        <v>0.479542613415276</v>
      </c>
      <c r="S101" s="9"/>
      <c r="V101" s="9" t="n">
        <f aca="false">K95-$V$4</f>
        <v>0.604467263969552</v>
      </c>
      <c r="W101" s="9" t="n">
        <f aca="false">L95-$W$4</f>
        <v>0.491965278155844</v>
      </c>
      <c r="X101" s="9" t="n">
        <f aca="false">M95-$X$4</f>
        <v>2.76777505893347</v>
      </c>
      <c r="Y101" s="9" t="n">
        <f aca="false">N95-$Y$4</f>
        <v>0.222398911415141</v>
      </c>
      <c r="Z101" s="9" t="n">
        <f aca="false">O95-$Z$4</f>
        <v>2.49520620291754</v>
      </c>
      <c r="AA101" s="9" t="n">
        <f aca="false">P95-$AA$4</f>
        <v>3.91278098634184</v>
      </c>
      <c r="AB101" s="9" t="n">
        <f aca="false">Q95-$AB$4</f>
        <v>3.10128600660499</v>
      </c>
    </row>
    <row r="102" customFormat="false" ht="15.75" hidden="false" customHeight="false" outlineLevel="0" collapsed="false">
      <c r="A102" s="7" t="n">
        <v>45439</v>
      </c>
      <c r="B102" s="1" t="n">
        <v>168.9</v>
      </c>
      <c r="C102" s="9" t="n">
        <v>3847.05</v>
      </c>
      <c r="D102" s="9" t="n">
        <v>2549.1</v>
      </c>
      <c r="E102" s="8" t="n">
        <v>2459.9</v>
      </c>
      <c r="F102" s="9" t="n">
        <v>1384.35</v>
      </c>
      <c r="G102" s="11" t="n">
        <v>1715</v>
      </c>
      <c r="H102" s="12" t="n">
        <v>0.528232396</v>
      </c>
      <c r="I102" s="12"/>
      <c r="J102" s="12"/>
      <c r="K102" s="8" t="n">
        <f aca="false">((B102-B101)/B101)*100</f>
        <v>0.0592417061611341</v>
      </c>
      <c r="L102" s="8" t="n">
        <f aca="false">((C102-C101)/C101)*100</f>
        <v>-0.0636446291726151</v>
      </c>
      <c r="M102" s="8" t="n">
        <f aca="false">((D102-D101)/D101)*100</f>
        <v>-1.1880996220564</v>
      </c>
      <c r="N102" s="8" t="n">
        <f aca="false">((E102-E101)/E101)*100</f>
        <v>-0.318103535609357</v>
      </c>
      <c r="O102" s="8" t="n">
        <f aca="false">((F102-F101)/F101)*100</f>
        <v>-0.298883687432488</v>
      </c>
      <c r="P102" s="8" t="n">
        <f aca="false">((G102-G101)/G101)*100</f>
        <v>0.0379152448449903</v>
      </c>
      <c r="Q102" s="8" t="n">
        <f aca="false">((H102-H101)/H101)*100</f>
        <v>-0.158094176719231</v>
      </c>
      <c r="S102" s="9"/>
      <c r="V102" s="9" t="n">
        <f aca="false">K96-$V$4</f>
        <v>0.692392368138098</v>
      </c>
      <c r="W102" s="9" t="n">
        <f aca="false">L96-$W$4</f>
        <v>-1.75130442873518</v>
      </c>
      <c r="X102" s="9" t="n">
        <f aca="false">M96-$X$4</f>
        <v>5.77420520332357</v>
      </c>
      <c r="Y102" s="9" t="n">
        <f aca="false">N96-$Y$4</f>
        <v>-0.839223335767655</v>
      </c>
      <c r="Z102" s="9" t="n">
        <f aca="false">O96-$Z$4</f>
        <v>-0.240345374474553</v>
      </c>
      <c r="AA102" s="9" t="n">
        <f aca="false">P96-$AA$4</f>
        <v>-2.02446710786226</v>
      </c>
      <c r="AB102" s="9" t="n">
        <f aca="false">Q96-$AB$4</f>
        <v>-1.21877575763057</v>
      </c>
    </row>
    <row r="103" customFormat="false" ht="15.75" hidden="false" customHeight="false" outlineLevel="0" collapsed="false">
      <c r="A103" s="7" t="n">
        <v>45440</v>
      </c>
      <c r="B103" s="1" t="n">
        <v>167.05</v>
      </c>
      <c r="C103" s="9" t="n">
        <v>3839.9</v>
      </c>
      <c r="D103" s="9" t="n">
        <v>2552.8</v>
      </c>
      <c r="E103" s="8" t="n">
        <v>2451.7</v>
      </c>
      <c r="F103" s="9" t="n">
        <v>1371.05</v>
      </c>
      <c r="G103" s="11" t="n">
        <v>1722.65</v>
      </c>
      <c r="H103" s="12" t="n">
        <v>0.533995657</v>
      </c>
      <c r="I103" s="12"/>
      <c r="J103" s="12"/>
      <c r="K103" s="8" t="n">
        <f aca="false">((B103-B102)/B102)*100</f>
        <v>-1.09532267613972</v>
      </c>
      <c r="L103" s="8" t="n">
        <f aca="false">((C103-C102)/C102)*100</f>
        <v>-0.185856695389976</v>
      </c>
      <c r="M103" s="8" t="n">
        <f aca="false">((D103-D102)/D102)*100</f>
        <v>0.145149268369239</v>
      </c>
      <c r="N103" s="8" t="n">
        <f aca="false">((E103-E102)/E102)*100</f>
        <v>-0.333346884019687</v>
      </c>
      <c r="O103" s="8" t="n">
        <f aca="false">((F103-F102)/F102)*100</f>
        <v>-0.960739697330874</v>
      </c>
      <c r="P103" s="8" t="n">
        <f aca="false">((G103-G102)/G102)*100</f>
        <v>0.446064139941696</v>
      </c>
      <c r="Q103" s="8" t="n">
        <f aca="false">((H103-H102)/H102)*100</f>
        <v>1.09104648704657</v>
      </c>
      <c r="S103" s="9"/>
      <c r="V103" s="9" t="n">
        <f aca="false">K97-$V$4</f>
        <v>0.473652658847135</v>
      </c>
      <c r="W103" s="9" t="n">
        <f aca="false">L97-$W$4</f>
        <v>0.414898891260229</v>
      </c>
      <c r="X103" s="9" t="n">
        <f aca="false">M97-$X$4</f>
        <v>-0.682242153493875</v>
      </c>
      <c r="Y103" s="9" t="n">
        <f aca="false">N97-$Y$4</f>
        <v>2.49500169261322</v>
      </c>
      <c r="Z103" s="9" t="n">
        <f aca="false">O97-$Z$4</f>
        <v>0.0534317014270541</v>
      </c>
      <c r="AA103" s="9" t="n">
        <f aca="false">P97-$AA$4</f>
        <v>-1.42572747159375</v>
      </c>
      <c r="AB103" s="9" t="n">
        <f aca="false">Q97-$AB$4</f>
        <v>0.950638225393765</v>
      </c>
    </row>
    <row r="104" customFormat="false" ht="15.75" hidden="false" customHeight="false" outlineLevel="0" collapsed="false">
      <c r="A104" s="7" t="n">
        <v>45441</v>
      </c>
      <c r="B104" s="1" t="n">
        <v>165.05</v>
      </c>
      <c r="C104" s="9" t="n">
        <v>3803.65</v>
      </c>
      <c r="D104" s="9" t="n">
        <v>2533.65</v>
      </c>
      <c r="E104" s="8" t="n">
        <v>2476.2</v>
      </c>
      <c r="F104" s="9" t="n">
        <v>1377.1</v>
      </c>
      <c r="G104" s="11" t="n">
        <v>1710</v>
      </c>
      <c r="H104" s="12" t="n">
        <v>0.528089927</v>
      </c>
      <c r="I104" s="12"/>
      <c r="J104" s="12"/>
      <c r="K104" s="8" t="n">
        <f aca="false">((B104-B103)/B103)*100</f>
        <v>-1.1972463334331</v>
      </c>
      <c r="L104" s="8" t="n">
        <f aca="false">((C104-C103)/C103)*100</f>
        <v>-0.944035000911482</v>
      </c>
      <c r="M104" s="8" t="n">
        <f aca="false">((D104-D103)/D103)*100</f>
        <v>-0.750156690692576</v>
      </c>
      <c r="N104" s="8" t="n">
        <f aca="false">((E104-E103)/E103)*100</f>
        <v>0.999306603581189</v>
      </c>
      <c r="O104" s="8" t="n">
        <f aca="false">((F104-F103)/F103)*100</f>
        <v>0.44126764158856</v>
      </c>
      <c r="P104" s="8" t="n">
        <f aca="false">((G104-G103)/G103)*100</f>
        <v>-0.734333730009003</v>
      </c>
      <c r="Q104" s="8" t="n">
        <f aca="false">((H104-H103)/H103)*100</f>
        <v>-1.10595094221898</v>
      </c>
      <c r="S104" s="9"/>
      <c r="V104" s="9" t="n">
        <f aca="false">K98-$V$4</f>
        <v>1.16837422035246</v>
      </c>
      <c r="W104" s="9" t="n">
        <f aca="false">L98-$W$4</f>
        <v>-0.849002026739856</v>
      </c>
      <c r="X104" s="9" t="n">
        <f aca="false">M98-$X$4</f>
        <v>0.508106208080457</v>
      </c>
      <c r="Y104" s="9" t="n">
        <f aca="false">N98-$Y$4</f>
        <v>-1.65443967822489</v>
      </c>
      <c r="Z104" s="9" t="n">
        <f aca="false">O98-$Z$4</f>
        <v>-0.448004022299829</v>
      </c>
      <c r="AA104" s="9" t="n">
        <f aca="false">P98-$AA$4</f>
        <v>-0.741168736603683</v>
      </c>
      <c r="AB104" s="9" t="n">
        <f aca="false">Q98-$AB$4</f>
        <v>1.81245340317622</v>
      </c>
    </row>
    <row r="105" customFormat="false" ht="15.75" hidden="false" customHeight="false" outlineLevel="0" collapsed="false">
      <c r="A105" s="7" t="n">
        <v>45442</v>
      </c>
      <c r="B105" s="1" t="n">
        <v>161.95</v>
      </c>
      <c r="C105" s="9" t="n">
        <v>3736.1</v>
      </c>
      <c r="D105" s="9" t="n">
        <v>2493.5</v>
      </c>
      <c r="E105" s="8" t="n">
        <v>2404.8</v>
      </c>
      <c r="F105" s="9" t="n">
        <v>1377.15</v>
      </c>
      <c r="G105" s="11" t="n">
        <v>1701.65</v>
      </c>
      <c r="H105" s="12" t="n">
        <v>0.523022603</v>
      </c>
      <c r="I105" s="12"/>
      <c r="J105" s="12"/>
      <c r="K105" s="8" t="n">
        <f aca="false">((B105-B104)/B104)*100</f>
        <v>-1.87821872159953</v>
      </c>
      <c r="L105" s="8" t="n">
        <f aca="false">((C105-C104)/C104)*100</f>
        <v>-1.7759257555243</v>
      </c>
      <c r="M105" s="8" t="n">
        <f aca="false">((D105-D104)/D104)*100</f>
        <v>-1.58467033726048</v>
      </c>
      <c r="N105" s="8" t="n">
        <f aca="false">((E105-E104)/E104)*100</f>
        <v>-2.88345044826749</v>
      </c>
      <c r="O105" s="8" t="n">
        <f aca="false">((F105-F104)/F104)*100</f>
        <v>0.00363081838647752</v>
      </c>
      <c r="P105" s="8" t="n">
        <f aca="false">((G105-G104)/G104)*100</f>
        <v>-0.488304093567246</v>
      </c>
      <c r="Q105" s="8" t="n">
        <f aca="false">((H105-H104)/H104)*100</f>
        <v>-0.959557026354715</v>
      </c>
      <c r="S105" s="9"/>
      <c r="V105" s="9" t="n">
        <f aca="false">K99-$V$4</f>
        <v>-0.0145239974609836</v>
      </c>
      <c r="W105" s="9" t="n">
        <f aca="false">L99-$W$4</f>
        <v>0.271265050851093</v>
      </c>
      <c r="X105" s="9" t="n">
        <f aca="false">M99-$X$4</f>
        <v>-0.312198975971491</v>
      </c>
      <c r="Y105" s="9" t="n">
        <f aca="false">N99-$Y$4</f>
        <v>0.425816820662154</v>
      </c>
      <c r="Z105" s="9" t="n">
        <f aca="false">O99-$Z$4</f>
        <v>0.0757755369025401</v>
      </c>
      <c r="AA105" s="9" t="n">
        <f aca="false">P99-$AA$4</f>
        <v>-0.403076825379595</v>
      </c>
      <c r="AB105" s="9" t="n">
        <f aca="false">Q99-$AB$4</f>
        <v>-0.728135289274969</v>
      </c>
    </row>
    <row r="106" customFormat="false" ht="15.75" hidden="false" customHeight="false" outlineLevel="0" collapsed="false">
      <c r="A106" s="7" t="n">
        <v>45443</v>
      </c>
      <c r="B106" s="1" t="n">
        <v>162.4</v>
      </c>
      <c r="C106" s="9" t="n">
        <v>3670.95</v>
      </c>
      <c r="D106" s="9" t="n">
        <v>2506.25</v>
      </c>
      <c r="E106" s="8" t="n">
        <v>2354.9</v>
      </c>
      <c r="F106" s="9" t="n">
        <v>1372.75</v>
      </c>
      <c r="G106" s="11" t="n">
        <v>1656.65</v>
      </c>
      <c r="H106" s="12" t="n">
        <v>0.51892801</v>
      </c>
      <c r="I106" s="12"/>
      <c r="J106" s="12"/>
      <c r="K106" s="8" t="n">
        <f aca="false">((B106-B105)/B105)*100</f>
        <v>0.277863538129063</v>
      </c>
      <c r="L106" s="8" t="n">
        <f aca="false">((C106-C105)/C105)*100</f>
        <v>-1.74379700757475</v>
      </c>
      <c r="M106" s="8" t="n">
        <f aca="false">((D106-D105)/D105)*100</f>
        <v>0.511329456587127</v>
      </c>
      <c r="N106" s="8" t="n">
        <f aca="false">((E106-E105)/E105)*100</f>
        <v>-2.07501663339987</v>
      </c>
      <c r="O106" s="8" t="n">
        <f aca="false">((F106-F105)/F105)*100</f>
        <v>-0.319500417528961</v>
      </c>
      <c r="P106" s="8" t="n">
        <f aca="false">((G106-G105)/G105)*100</f>
        <v>-2.64449211059854</v>
      </c>
      <c r="Q106" s="8" t="n">
        <f aca="false">((H106-H105)/H105)*100</f>
        <v>-0.782871137215467</v>
      </c>
      <c r="S106" s="9"/>
      <c r="V106" s="9" t="n">
        <f aca="false">K100-$V$4</f>
        <v>0.554499674878434</v>
      </c>
      <c r="W106" s="9" t="n">
        <f aca="false">L100-$W$4</f>
        <v>1.56598195185606</v>
      </c>
      <c r="X106" s="9" t="n">
        <f aca="false">M100-$X$4</f>
        <v>3.24778536365448</v>
      </c>
      <c r="Y106" s="9" t="n">
        <f aca="false">N100-$Y$4</f>
        <v>0.288995110130004</v>
      </c>
      <c r="Z106" s="9" t="n">
        <f aca="false">O100-$Z$4</f>
        <v>1.74803307045844</v>
      </c>
      <c r="AA106" s="9" t="n">
        <f aca="false">P100-$AA$4</f>
        <v>-0.0155831772117813</v>
      </c>
      <c r="AB106" s="9" t="n">
        <f aca="false">Q100-$AB$4</f>
        <v>-2.62680817434262</v>
      </c>
    </row>
    <row r="107" customFormat="false" ht="15.75" hidden="false" customHeight="false" outlineLevel="0" collapsed="false">
      <c r="A107" s="7" t="n">
        <v>45446</v>
      </c>
      <c r="B107" s="1" t="n">
        <v>175.3</v>
      </c>
      <c r="C107" s="9" t="n">
        <v>3702.85</v>
      </c>
      <c r="D107" s="9" t="n">
        <v>2634</v>
      </c>
      <c r="E107" s="8" t="n">
        <v>2355.05</v>
      </c>
      <c r="F107" s="9" t="n">
        <v>1391.1</v>
      </c>
      <c r="G107" s="11" t="n">
        <v>1631</v>
      </c>
      <c r="H107" s="12" t="n">
        <v>0.51311754</v>
      </c>
      <c r="I107" s="12"/>
      <c r="J107" s="12"/>
      <c r="K107" s="8" t="n">
        <f aca="false">((B107-B106)/B106)*100</f>
        <v>7.94334975369458</v>
      </c>
      <c r="L107" s="8" t="n">
        <f aca="false">((C107-C106)/C106)*100</f>
        <v>0.868984867677307</v>
      </c>
      <c r="M107" s="8" t="n">
        <f aca="false">((D107-D106)/D106)*100</f>
        <v>5.09725685785536</v>
      </c>
      <c r="N107" s="8" t="n">
        <f aca="false">((E107-E106)/E106)*100</f>
        <v>0.00636969722706234</v>
      </c>
      <c r="O107" s="8" t="n">
        <f aca="false">((F107-F106)/F106)*100</f>
        <v>1.33673283554907</v>
      </c>
      <c r="P107" s="8" t="n">
        <f aca="false">((G107-G106)/G106)*100</f>
        <v>-1.54830531494281</v>
      </c>
      <c r="Q107" s="8" t="n">
        <f aca="false">((H107-H106)/H106)*100</f>
        <v>-1.11970637314413</v>
      </c>
      <c r="S107" s="9"/>
      <c r="V107" s="9" t="n">
        <f aca="false">K101-$V$4</f>
        <v>0.461620950668521</v>
      </c>
      <c r="W107" s="9" t="n">
        <f aca="false">L101-$W$4</f>
        <v>-1.16643821457033</v>
      </c>
      <c r="X107" s="9" t="n">
        <f aca="false">M101-$X$4</f>
        <v>-1.37747206142178</v>
      </c>
      <c r="Y107" s="9" t="n">
        <f aca="false">N101-$Y$4</f>
        <v>-0.172178421862061</v>
      </c>
      <c r="Z107" s="9" t="n">
        <f aca="false">O101-$Z$4</f>
        <v>0.859613845800964</v>
      </c>
      <c r="AA107" s="9" t="n">
        <f aca="false">P101-$AA$4</f>
        <v>0.411892550133536</v>
      </c>
      <c r="AB107" s="9" t="n">
        <f aca="false">Q101-$AB$4</f>
        <v>-0.199715102987873</v>
      </c>
    </row>
    <row r="108" customFormat="false" ht="15.75" hidden="false" customHeight="false" outlineLevel="0" collapsed="false">
      <c r="A108" s="7" t="n">
        <v>45447</v>
      </c>
      <c r="B108" s="1" t="n">
        <v>154.5</v>
      </c>
      <c r="C108" s="9" t="n">
        <v>3715</v>
      </c>
      <c r="D108" s="9" t="n">
        <v>2572.9</v>
      </c>
      <c r="E108" s="8" t="n">
        <v>2427.75</v>
      </c>
      <c r="F108" s="9" t="n">
        <v>1299.7</v>
      </c>
      <c r="G108" s="11" t="n">
        <v>1597</v>
      </c>
      <c r="H108" s="12" t="n">
        <v>0.520061253</v>
      </c>
      <c r="I108" s="12"/>
      <c r="J108" s="12"/>
      <c r="K108" s="8" t="n">
        <f aca="false">((B108-B107)/B107)*100</f>
        <v>-11.8653736451797</v>
      </c>
      <c r="L108" s="8" t="n">
        <f aca="false">((C108-C107)/C107)*100</f>
        <v>0.328125632958399</v>
      </c>
      <c r="M108" s="8" t="n">
        <f aca="false">((D108-D107)/D107)*100</f>
        <v>-2.31966590736522</v>
      </c>
      <c r="N108" s="8" t="n">
        <f aca="false">((E108-E107)/E107)*100</f>
        <v>3.08698329122523</v>
      </c>
      <c r="O108" s="8" t="n">
        <f aca="false">((F108-F107)/F107)*100</f>
        <v>-6.57034001869024</v>
      </c>
      <c r="P108" s="8" t="n">
        <f aca="false">((G108-G107)/G107)*100</f>
        <v>-2.08461066830166</v>
      </c>
      <c r="Q108" s="8" t="n">
        <f aca="false">((H108-H107)/H107)*100</f>
        <v>1.35324023419663</v>
      </c>
      <c r="S108" s="9"/>
      <c r="V108" s="9" t="n">
        <f aca="false">K102-$V$4</f>
        <v>0.0147596499823656</v>
      </c>
      <c r="W108" s="9" t="n">
        <f aca="false">L102-$W$4</f>
        <v>-0.101263929926155</v>
      </c>
      <c r="X108" s="9" t="n">
        <f aca="false">M102-$X$4</f>
        <v>-1.43687323184551</v>
      </c>
      <c r="Y108" s="9" t="n">
        <f aca="false">N102-$Y$4</f>
        <v>-0.231607261111048</v>
      </c>
      <c r="Z108" s="9" t="n">
        <f aca="false">O102-$Z$4</f>
        <v>-0.490905517189186</v>
      </c>
      <c r="AA108" s="9" t="n">
        <f aca="false">P102-$AA$4</f>
        <v>0.057455732202207</v>
      </c>
      <c r="AB108" s="9" t="n">
        <f aca="false">Q102-$AB$4</f>
        <v>-0.837351893122379</v>
      </c>
    </row>
    <row r="109" customFormat="false" ht="15.75" hidden="false" customHeight="false" outlineLevel="0" collapsed="false">
      <c r="A109" s="7" t="n">
        <v>45448</v>
      </c>
      <c r="B109" s="1" t="n">
        <v>159.25</v>
      </c>
      <c r="C109" s="9" t="n">
        <v>3746.45</v>
      </c>
      <c r="D109" s="9" t="n">
        <v>2740.95</v>
      </c>
      <c r="E109" s="8" t="n">
        <v>2509.85</v>
      </c>
      <c r="F109" s="9" t="n">
        <v>1344.35</v>
      </c>
      <c r="G109" s="11" t="n">
        <v>1555</v>
      </c>
      <c r="H109" s="12" t="n">
        <v>0.525877758</v>
      </c>
      <c r="I109" s="12"/>
      <c r="J109" s="12"/>
      <c r="K109" s="8" t="n">
        <f aca="false">((B109-B108)/B108)*100</f>
        <v>3.07443365695793</v>
      </c>
      <c r="L109" s="8" t="n">
        <f aca="false">((C109-C108)/C108)*100</f>
        <v>0.846567967698515</v>
      </c>
      <c r="M109" s="8" t="n">
        <f aca="false">((D109-D108)/D108)*100</f>
        <v>6.53154028528119</v>
      </c>
      <c r="N109" s="8" t="n">
        <f aca="false">((E109-E108)/E108)*100</f>
        <v>3.38173205643085</v>
      </c>
      <c r="O109" s="8" t="n">
        <f aca="false">((F109-F108)/F108)*100</f>
        <v>3.4354081711164</v>
      </c>
      <c r="P109" s="8" t="n">
        <f aca="false">((G109-G108)/G108)*100</f>
        <v>-2.6299311208516</v>
      </c>
      <c r="Q109" s="8" t="n">
        <f aca="false">((H109-H108)/H108)*100</f>
        <v>1.11842690960868</v>
      </c>
      <c r="S109" s="9"/>
      <c r="V109" s="9" t="n">
        <f aca="false">K103-$V$4</f>
        <v>-1.13980473231849</v>
      </c>
      <c r="W109" s="9" t="n">
        <f aca="false">L103-$W$4</f>
        <v>-0.223475996143516</v>
      </c>
      <c r="X109" s="9" t="n">
        <f aca="false">M103-$X$4</f>
        <v>-0.103624341419868</v>
      </c>
      <c r="Y109" s="9" t="n">
        <f aca="false">N103-$Y$4</f>
        <v>-0.246850609521378</v>
      </c>
      <c r="Z109" s="9" t="n">
        <f aca="false">O103-$Z$4</f>
        <v>-1.15276152708757</v>
      </c>
      <c r="AA109" s="9" t="n">
        <f aca="false">P103-$AA$4</f>
        <v>0.465604627298913</v>
      </c>
      <c r="AB109" s="9" t="n">
        <f aca="false">Q103-$AB$4</f>
        <v>0.411788770643418</v>
      </c>
    </row>
    <row r="110" customFormat="false" ht="15.75" hidden="false" customHeight="false" outlineLevel="0" collapsed="false">
      <c r="A110" s="7" t="n">
        <v>45449</v>
      </c>
      <c r="B110" s="1" t="n">
        <v>163.6</v>
      </c>
      <c r="C110" s="9" t="n">
        <v>3830.4</v>
      </c>
      <c r="D110" s="9" t="n">
        <v>2699.85</v>
      </c>
      <c r="E110" s="8" t="n">
        <v>2471.4</v>
      </c>
      <c r="F110" s="9" t="n">
        <v>1370.6</v>
      </c>
      <c r="G110" s="11" t="n">
        <v>1555</v>
      </c>
      <c r="H110" s="12" t="n">
        <v>0.526266121</v>
      </c>
      <c r="I110" s="12"/>
      <c r="J110" s="12"/>
      <c r="K110" s="8" t="n">
        <f aca="false">((B110-B109)/B109)*100</f>
        <v>2.73155416012559</v>
      </c>
      <c r="L110" s="8" t="n">
        <f aca="false">((C110-C109)/C109)*100</f>
        <v>2.24078794592215</v>
      </c>
      <c r="M110" s="8" t="n">
        <f aca="false">((D110-D109)/D109)*100</f>
        <v>-1.49948010726208</v>
      </c>
      <c r="N110" s="8" t="n">
        <f aca="false">((E110-E109)/E109)*100</f>
        <v>-1.5319640615973</v>
      </c>
      <c r="O110" s="8" t="n">
        <f aca="false">((F110-F109)/F109)*100</f>
        <v>1.9526165061182</v>
      </c>
      <c r="P110" s="8" t="n">
        <f aca="false">((G110-G109)/G109)*100</f>
        <v>0</v>
      </c>
      <c r="Q110" s="8" t="n">
        <f aca="false">((H110-H109)/H109)*100</f>
        <v>0.0738504327463879</v>
      </c>
      <c r="S110" s="9"/>
      <c r="V110" s="9" t="n">
        <f aca="false">K104-$V$4</f>
        <v>-1.24172838961187</v>
      </c>
      <c r="W110" s="9" t="n">
        <f aca="false">L104-$W$4</f>
        <v>-0.981654301665021</v>
      </c>
      <c r="X110" s="9" t="n">
        <f aca="false">M104-$X$4</f>
        <v>-0.998930300481684</v>
      </c>
      <c r="Y110" s="9" t="n">
        <f aca="false">N104-$Y$4</f>
        <v>1.0858028780795</v>
      </c>
      <c r="Z110" s="9" t="n">
        <f aca="false">O104-$Z$4</f>
        <v>0.249245811831862</v>
      </c>
      <c r="AA110" s="9" t="n">
        <f aca="false">P104-$AA$4</f>
        <v>-0.714793242651786</v>
      </c>
      <c r="AB110" s="9" t="n">
        <f aca="false">Q104-$AB$4</f>
        <v>-1.78520865862213</v>
      </c>
    </row>
    <row r="111" customFormat="false" ht="15.75" hidden="false" customHeight="false" outlineLevel="0" collapsed="false">
      <c r="A111" s="7" t="n">
        <v>45450</v>
      </c>
      <c r="B111" s="1" t="n">
        <v>164.2</v>
      </c>
      <c r="C111" s="9" t="n">
        <v>3893.95</v>
      </c>
      <c r="D111" s="9" t="n">
        <v>2857.45</v>
      </c>
      <c r="E111" s="8" t="n">
        <v>2502.45</v>
      </c>
      <c r="F111" s="9" t="n">
        <v>1425.25</v>
      </c>
      <c r="G111" s="11" t="n">
        <v>1533.35</v>
      </c>
      <c r="H111" s="12" t="n">
        <v>0.521672648</v>
      </c>
      <c r="I111" s="12"/>
      <c r="J111" s="12"/>
      <c r="K111" s="8" t="n">
        <f aca="false">((B111-B110)/B110)*100</f>
        <v>0.366748166259165</v>
      </c>
      <c r="L111" s="8" t="n">
        <f aca="false">((C111-C110)/C110)*100</f>
        <v>1.65909565580618</v>
      </c>
      <c r="M111" s="8" t="n">
        <f aca="false">((D111-D110)/D110)*100</f>
        <v>5.83736133488897</v>
      </c>
      <c r="N111" s="8" t="n">
        <f aca="false">((E111-E110)/E110)*100</f>
        <v>1.25637290604515</v>
      </c>
      <c r="O111" s="8" t="n">
        <f aca="false">((F111-F110)/F110)*100</f>
        <v>3.98730483000147</v>
      </c>
      <c r="P111" s="8" t="n">
        <f aca="false">((G111-G110)/G110)*100</f>
        <v>-1.39228295819936</v>
      </c>
      <c r="Q111" s="8" t="n">
        <f aca="false">((H111-H110)/H110)*100</f>
        <v>-0.872842240209496</v>
      </c>
      <c r="S111" s="9"/>
      <c r="V111" s="9" t="n">
        <f aca="false">K105-$V$4</f>
        <v>-1.9227007777783</v>
      </c>
      <c r="W111" s="9" t="n">
        <f aca="false">L105-$W$4</f>
        <v>-1.81354505627784</v>
      </c>
      <c r="X111" s="9" t="n">
        <f aca="false">M105-$X$4</f>
        <v>-1.83344394704959</v>
      </c>
      <c r="Y111" s="9" t="n">
        <f aca="false">N105-$Y$4</f>
        <v>-2.79695417376918</v>
      </c>
      <c r="Z111" s="9" t="n">
        <f aca="false">O105-$Z$4</f>
        <v>-0.18839101137022</v>
      </c>
      <c r="AA111" s="9" t="n">
        <f aca="false">P105-$AA$4</f>
        <v>-0.468763606210029</v>
      </c>
      <c r="AB111" s="9" t="n">
        <f aca="false">Q105-$AB$4</f>
        <v>-1.63881474275786</v>
      </c>
    </row>
    <row r="112" customFormat="false" ht="15.75" hidden="false" customHeight="false" outlineLevel="0" collapsed="false">
      <c r="A112" s="7" t="n">
        <v>45453</v>
      </c>
      <c r="B112" s="1" t="n">
        <v>165.21</v>
      </c>
      <c r="C112" s="9" t="n">
        <v>3858.7</v>
      </c>
      <c r="D112" s="9" t="n">
        <v>2807.55</v>
      </c>
      <c r="E112" s="8" t="n">
        <v>2548.2</v>
      </c>
      <c r="F112" s="9" t="n">
        <v>1426.05</v>
      </c>
      <c r="G112" s="11" t="n">
        <v>1513.25</v>
      </c>
      <c r="H112" s="12" t="n">
        <v>0.498548297</v>
      </c>
      <c r="I112" s="12"/>
      <c r="J112" s="12"/>
      <c r="K112" s="8" t="n">
        <f aca="false">((B112-B111)/B111)*100</f>
        <v>0.615103532277722</v>
      </c>
      <c r="L112" s="8" t="n">
        <f aca="false">((C112-C111)/C111)*100</f>
        <v>-0.905250452625226</v>
      </c>
      <c r="M112" s="8" t="n">
        <f aca="false">((D112-D111)/D111)*100</f>
        <v>-1.74631227143081</v>
      </c>
      <c r="N112" s="8" t="n">
        <f aca="false">((E112-E111)/E111)*100</f>
        <v>1.82820835581131</v>
      </c>
      <c r="O112" s="8" t="n">
        <f aca="false">((F112-F111)/F111)*100</f>
        <v>0.0561305034204494</v>
      </c>
      <c r="P112" s="8" t="n">
        <f aca="false">((G112-G111)/G111)*100</f>
        <v>-1.31085531679003</v>
      </c>
      <c r="Q112" s="8" t="n">
        <f aca="false">((H112-H111)/H111)*100</f>
        <v>-4.43273211441211</v>
      </c>
      <c r="S112" s="9"/>
      <c r="V112" s="9" t="n">
        <f aca="false">K106-$V$4</f>
        <v>0.233381481950294</v>
      </c>
      <c r="W112" s="9" t="n">
        <f aca="false">L106-$W$4</f>
        <v>-1.78141630832829</v>
      </c>
      <c r="X112" s="9" t="n">
        <f aca="false">M106-$X$4</f>
        <v>0.262555846798019</v>
      </c>
      <c r="Y112" s="9" t="n">
        <f aca="false">N106-$Y$4</f>
        <v>-1.98852035890156</v>
      </c>
      <c r="Z112" s="9" t="n">
        <f aca="false">O106-$Z$4</f>
        <v>-0.511522247285659</v>
      </c>
      <c r="AA112" s="9" t="n">
        <f aca="false">P106-$AA$4</f>
        <v>-2.62495162324132</v>
      </c>
      <c r="AB112" s="9" t="n">
        <f aca="false">Q106-$AB$4</f>
        <v>-1.46212885361862</v>
      </c>
    </row>
    <row r="113" customFormat="false" ht="15.75" hidden="false" customHeight="false" outlineLevel="0" collapsed="false">
      <c r="A113" s="7" t="n">
        <v>45454</v>
      </c>
      <c r="B113" s="1" t="n">
        <v>167.68</v>
      </c>
      <c r="C113" s="9" t="n">
        <v>3852.1</v>
      </c>
      <c r="D113" s="9" t="n">
        <v>2835.55</v>
      </c>
      <c r="E113" s="8" t="n">
        <v>2541.95</v>
      </c>
      <c r="F113" s="9" t="n">
        <v>1427.25</v>
      </c>
      <c r="G113" s="11" t="n">
        <v>1505</v>
      </c>
      <c r="H113" s="12" t="n">
        <v>0.496732831</v>
      </c>
      <c r="I113" s="12"/>
      <c r="J113" s="12"/>
      <c r="K113" s="8" t="n">
        <f aca="false">((B113-B112)/B112)*100</f>
        <v>1.49506688457115</v>
      </c>
      <c r="L113" s="8" t="n">
        <f aca="false">((C113-C112)/C112)*100</f>
        <v>-0.171042060797676</v>
      </c>
      <c r="M113" s="8" t="n">
        <f aca="false">((D113-D112)/D112)*100</f>
        <v>0.997310822603337</v>
      </c>
      <c r="N113" s="8" t="n">
        <f aca="false">((E113-E112)/E112)*100</f>
        <v>-0.24527117180755</v>
      </c>
      <c r="O113" s="8" t="n">
        <f aca="false">((F113-F112)/F112)*100</f>
        <v>0.0841485221415831</v>
      </c>
      <c r="P113" s="8" t="n">
        <f aca="false">((G113-G112)/G112)*100</f>
        <v>-0.545184206178754</v>
      </c>
      <c r="Q113" s="8" t="n">
        <f aca="false">((H113-H112)/H112)*100</f>
        <v>-0.36415047667889</v>
      </c>
      <c r="S113" s="9"/>
      <c r="V113" s="9" t="n">
        <f aca="false">K107-$V$4</f>
        <v>7.89886769751582</v>
      </c>
      <c r="W113" s="9" t="n">
        <f aca="false">L107-$W$4</f>
        <v>0.831365566923767</v>
      </c>
      <c r="X113" s="9" t="n">
        <f aca="false">M107-$X$4</f>
        <v>4.84848324806625</v>
      </c>
      <c r="Y113" s="9" t="n">
        <f aca="false">N107-$Y$4</f>
        <v>0.0928659717253711</v>
      </c>
      <c r="Z113" s="9" t="n">
        <f aca="false">O107-$Z$4</f>
        <v>1.14471100579238</v>
      </c>
      <c r="AA113" s="9" t="n">
        <f aca="false">P107-$AA$4</f>
        <v>-1.5287648275856</v>
      </c>
      <c r="AB113" s="9" t="n">
        <f aca="false">Q107-$AB$4</f>
        <v>-1.79896408954728</v>
      </c>
    </row>
    <row r="114" customFormat="false" ht="15.75" hidden="false" customHeight="false" outlineLevel="0" collapsed="false">
      <c r="A114" s="7" t="n">
        <v>45455</v>
      </c>
      <c r="B114" s="1" t="n">
        <v>168.84</v>
      </c>
      <c r="C114" s="9" t="n">
        <v>3831.65</v>
      </c>
      <c r="D114" s="9" t="n">
        <v>2787.55</v>
      </c>
      <c r="E114" s="8" t="n">
        <v>2537.3</v>
      </c>
      <c r="F114" s="9" t="n">
        <v>1438.4</v>
      </c>
      <c r="G114" s="11" t="n">
        <v>1506.65</v>
      </c>
      <c r="H114" s="12" t="n">
        <v>0.480254556</v>
      </c>
      <c r="I114" s="12"/>
      <c r="J114" s="12"/>
      <c r="K114" s="8" t="n">
        <f aca="false">((B114-B113)/B113)*100</f>
        <v>0.691793893129769</v>
      </c>
      <c r="L114" s="8" t="n">
        <f aca="false">((C114-C113)/C113)*100</f>
        <v>-0.53087926066301</v>
      </c>
      <c r="M114" s="8" t="n">
        <f aca="false">((D114-D113)/D113)*100</f>
        <v>-1.6927932852533</v>
      </c>
      <c r="N114" s="8" t="n">
        <f aca="false">((E114-E113)/E113)*100</f>
        <v>-0.182930427427748</v>
      </c>
      <c r="O114" s="8" t="n">
        <f aca="false">((F114-F113)/F113)*100</f>
        <v>0.78122263093362</v>
      </c>
      <c r="P114" s="8" t="n">
        <f aca="false">((G114-G113)/G113)*100</f>
        <v>0.109634551495023</v>
      </c>
      <c r="Q114" s="8" t="n">
        <f aca="false">((H114-H113)/H113)*100</f>
        <v>-3.31733156570841</v>
      </c>
      <c r="S114" s="9"/>
      <c r="V114" s="9" t="n">
        <f aca="false">K108-$V$4</f>
        <v>-11.9098557013585</v>
      </c>
      <c r="W114" s="9" t="n">
        <f aca="false">L108-$W$4</f>
        <v>0.29050633220486</v>
      </c>
      <c r="X114" s="9" t="n">
        <f aca="false">M108-$X$4</f>
        <v>-2.56843951715433</v>
      </c>
      <c r="Y114" s="9" t="n">
        <f aca="false">N108-$Y$4</f>
        <v>3.17347956572354</v>
      </c>
      <c r="Z114" s="9" t="n">
        <f aca="false">O108-$Z$4</f>
        <v>-6.76236184844693</v>
      </c>
      <c r="AA114" s="9" t="n">
        <f aca="false">P108-$AA$4</f>
        <v>-2.06507018094444</v>
      </c>
      <c r="AB114" s="9" t="n">
        <f aca="false">Q108-$AB$4</f>
        <v>0.673982517793476</v>
      </c>
    </row>
    <row r="115" customFormat="false" ht="15.75" hidden="false" customHeight="false" outlineLevel="0" collapsed="false">
      <c r="A115" s="7" t="n">
        <v>45456</v>
      </c>
      <c r="B115" s="1" t="n">
        <v>168.95</v>
      </c>
      <c r="C115" s="9" t="n">
        <v>3878.15</v>
      </c>
      <c r="D115" s="9" t="n">
        <v>2861.7</v>
      </c>
      <c r="E115" s="8" t="n">
        <v>2551.75</v>
      </c>
      <c r="F115" s="9" t="n">
        <v>1425.75</v>
      </c>
      <c r="G115" s="11" t="n">
        <v>1482.5</v>
      </c>
      <c r="H115" s="12" t="n">
        <v>0.491424163</v>
      </c>
      <c r="I115" s="12"/>
      <c r="J115" s="12"/>
      <c r="K115" s="8" t="n">
        <f aca="false">((B115-B114)/B114)*100</f>
        <v>0.0651504382847579</v>
      </c>
      <c r="L115" s="8" t="n">
        <f aca="false">((C115-C114)/C114)*100</f>
        <v>1.21357639659155</v>
      </c>
      <c r="M115" s="8" t="n">
        <f aca="false">((D115-D114)/D114)*100</f>
        <v>2.66004197234129</v>
      </c>
      <c r="N115" s="8" t="n">
        <f aca="false">((E115-E114)/E114)*100</f>
        <v>0.569503015015955</v>
      </c>
      <c r="O115" s="8" t="n">
        <f aca="false">((F115-F114)/F114)*100</f>
        <v>-0.879449388209128</v>
      </c>
      <c r="P115" s="8" t="n">
        <f aca="false">((G115-G114)/G114)*100</f>
        <v>-1.60289383732122</v>
      </c>
      <c r="Q115" s="8" t="n">
        <f aca="false">((H115-H114)/H114)*100</f>
        <v>2.32576804539466</v>
      </c>
      <c r="S115" s="9"/>
      <c r="V115" s="9" t="n">
        <f aca="false">K109-$V$4</f>
        <v>3.02995160077916</v>
      </c>
      <c r="W115" s="9" t="n">
        <f aca="false">L109-$W$4</f>
        <v>0.808948666944975</v>
      </c>
      <c r="X115" s="9" t="n">
        <f aca="false">M109-$X$4</f>
        <v>6.28276667549208</v>
      </c>
      <c r="Y115" s="9" t="n">
        <f aca="false">N109-$Y$4</f>
        <v>3.46822833092916</v>
      </c>
      <c r="Z115" s="9" t="n">
        <f aca="false">O109-$Z$4</f>
        <v>3.2433863413597</v>
      </c>
      <c r="AA115" s="9" t="n">
        <f aca="false">P109-$AA$4</f>
        <v>-2.61039063349438</v>
      </c>
      <c r="AB115" s="9" t="n">
        <f aca="false">Q109-$AB$4</f>
        <v>0.439169193205532</v>
      </c>
    </row>
    <row r="116" customFormat="false" ht="15.75" hidden="false" customHeight="false" outlineLevel="0" collapsed="false">
      <c r="A116" s="7" t="n">
        <v>45457</v>
      </c>
      <c r="B116" s="1" t="n">
        <v>170.36</v>
      </c>
      <c r="C116" s="9" t="n">
        <v>3832.05</v>
      </c>
      <c r="D116" s="9" t="n">
        <v>2928.6</v>
      </c>
      <c r="E116" s="8" t="n">
        <v>2542.5</v>
      </c>
      <c r="F116" s="9" t="n">
        <v>1427.4</v>
      </c>
      <c r="G116" s="11" t="n">
        <v>1490</v>
      </c>
      <c r="H116" s="12" t="n">
        <v>0.476517078</v>
      </c>
      <c r="I116" s="12"/>
      <c r="J116" s="12"/>
      <c r="K116" s="8" t="n">
        <f aca="false">((B116-B115)/B115)*100</f>
        <v>0.834566439775096</v>
      </c>
      <c r="L116" s="8" t="n">
        <f aca="false">((C116-C115)/C115)*100</f>
        <v>-1.18871111225713</v>
      </c>
      <c r="M116" s="8" t="n">
        <f aca="false">((D116-D115)/D115)*100</f>
        <v>2.33777125484852</v>
      </c>
      <c r="N116" s="8" t="n">
        <f aca="false">((E116-E115)/E115)*100</f>
        <v>-0.36249632605075</v>
      </c>
      <c r="O116" s="8" t="n">
        <f aca="false">((F116-F115)/F115)*100</f>
        <v>0.115728563913736</v>
      </c>
      <c r="P116" s="8" t="n">
        <f aca="false">((G116-G115)/G115)*100</f>
        <v>0.505902192242833</v>
      </c>
      <c r="Q116" s="8" t="n">
        <f aca="false">((H116-H115)/H115)*100</f>
        <v>-3.03344567125</v>
      </c>
      <c r="S116" s="9"/>
      <c r="V116" s="9" t="n">
        <f aca="false">K110-$V$4</f>
        <v>2.68707210394682</v>
      </c>
      <c r="W116" s="9" t="n">
        <f aca="false">L110-$W$4</f>
        <v>2.20316864516861</v>
      </c>
      <c r="X116" s="9" t="n">
        <f aca="false">M110-$X$4</f>
        <v>-1.74825371705118</v>
      </c>
      <c r="Y116" s="9" t="n">
        <f aca="false">N110-$Y$4</f>
        <v>-1.44546778709899</v>
      </c>
      <c r="Z116" s="9" t="n">
        <f aca="false">O110-$Z$4</f>
        <v>1.7605946763615</v>
      </c>
      <c r="AA116" s="9" t="n">
        <f aca="false">P110-$AA$4</f>
        <v>0.0195404873572167</v>
      </c>
      <c r="AB116" s="9" t="n">
        <f aca="false">Q110-$AB$4</f>
        <v>-0.605407283656761</v>
      </c>
    </row>
    <row r="117" customFormat="false" ht="15.75" hidden="false" customHeight="false" outlineLevel="0" collapsed="false">
      <c r="A117" s="7" t="n">
        <v>45461</v>
      </c>
      <c r="B117" s="1" t="n">
        <v>169.59</v>
      </c>
      <c r="C117" s="9" t="n">
        <v>3815.1</v>
      </c>
      <c r="D117" s="9" t="n">
        <v>2961.9</v>
      </c>
      <c r="E117" s="8" t="n">
        <v>2550.35</v>
      </c>
      <c r="F117" s="9" t="n">
        <v>1428.35</v>
      </c>
      <c r="G117" s="11" t="n">
        <v>1483</v>
      </c>
      <c r="H117" s="12" t="n">
        <v>0.504434504</v>
      </c>
      <c r="I117" s="12"/>
      <c r="J117" s="12"/>
      <c r="K117" s="8" t="n">
        <f aca="false">((B117-B116)/B116)*100</f>
        <v>-0.45198403381076</v>
      </c>
      <c r="L117" s="8" t="n">
        <f aca="false">((C117-C116)/C116)*100</f>
        <v>-0.442321994754773</v>
      </c>
      <c r="M117" s="8" t="n">
        <f aca="false">((D117-D116)/D116)*100</f>
        <v>1.13706207744315</v>
      </c>
      <c r="N117" s="8" t="n">
        <f aca="false">((E117-E116)/E116)*100</f>
        <v>0.308751229105208</v>
      </c>
      <c r="O117" s="8" t="n">
        <f aca="false">((F117-F116)/F116)*100</f>
        <v>0.0665545747512833</v>
      </c>
      <c r="P117" s="8" t="n">
        <f aca="false">((G117-G116)/G116)*100</f>
        <v>-0.469798657718121</v>
      </c>
      <c r="Q117" s="8" t="n">
        <f aca="false">((H117-H116)/H116)*100</f>
        <v>5.85864123006312</v>
      </c>
      <c r="S117" s="9"/>
      <c r="V117" s="9" t="n">
        <f aca="false">K111-$V$4</f>
        <v>0.322266110080397</v>
      </c>
      <c r="W117" s="9" t="n">
        <f aca="false">L111-$W$4</f>
        <v>1.62147635505264</v>
      </c>
      <c r="X117" s="9" t="n">
        <f aca="false">M111-$X$4</f>
        <v>5.58858772509987</v>
      </c>
      <c r="Y117" s="9" t="n">
        <f aca="false">N111-$Y$4</f>
        <v>1.34286918054345</v>
      </c>
      <c r="Z117" s="9" t="n">
        <f aca="false">O111-$Z$4</f>
        <v>3.79528300024477</v>
      </c>
      <c r="AA117" s="9" t="n">
        <f aca="false">P111-$AA$4</f>
        <v>-1.37274247084215</v>
      </c>
      <c r="AB117" s="9" t="n">
        <f aca="false">Q111-$AB$4</f>
        <v>-1.55209995661264</v>
      </c>
    </row>
    <row r="118" customFormat="false" ht="15.75" hidden="false" customHeight="false" outlineLevel="0" collapsed="false">
      <c r="A118" s="7" t="n">
        <v>45462</v>
      </c>
      <c r="B118" s="1" t="n">
        <v>166.75</v>
      </c>
      <c r="C118" s="9" t="n">
        <v>3801.7</v>
      </c>
      <c r="D118" s="9" t="n">
        <v>2933.85</v>
      </c>
      <c r="E118" s="8" t="n">
        <v>2526.05</v>
      </c>
      <c r="F118" s="9" t="n">
        <v>1392.35</v>
      </c>
      <c r="G118" s="11" t="n">
        <v>1475</v>
      </c>
      <c r="H118" s="12" t="n">
        <v>0.490690188</v>
      </c>
      <c r="I118" s="12"/>
      <c r="J118" s="12"/>
      <c r="K118" s="8" t="n">
        <f aca="false">((B118-B117)/B117)*100</f>
        <v>-1.67462704168878</v>
      </c>
      <c r="L118" s="8" t="n">
        <f aca="false">((C118-C117)/C117)*100</f>
        <v>-0.351235878482873</v>
      </c>
      <c r="M118" s="8" t="n">
        <f aca="false">((D118-D117)/D117)*100</f>
        <v>-0.947027246024517</v>
      </c>
      <c r="N118" s="8" t="n">
        <f aca="false">((E118-E117)/E117)*100</f>
        <v>-0.952810398572734</v>
      </c>
      <c r="O118" s="8" t="n">
        <f aca="false">((F118-F117)/F117)*100</f>
        <v>-2.52039066055239</v>
      </c>
      <c r="P118" s="8" t="n">
        <f aca="false">((G118-G117)/G117)*100</f>
        <v>-0.539447066756575</v>
      </c>
      <c r="Q118" s="8" t="n">
        <f aca="false">((H118-H117)/H117)*100</f>
        <v>-2.72469783312047</v>
      </c>
      <c r="S118" s="9"/>
      <c r="V118" s="9" t="n">
        <f aca="false">K112-$V$4</f>
        <v>0.570621476098953</v>
      </c>
      <c r="W118" s="9" t="n">
        <f aca="false">L112-$W$4</f>
        <v>-0.942869753378766</v>
      </c>
      <c r="X118" s="9" t="n">
        <f aca="false">M112-$X$4</f>
        <v>-1.99508588121992</v>
      </c>
      <c r="Y118" s="9" t="n">
        <f aca="false">N112-$Y$4</f>
        <v>1.91470463030961</v>
      </c>
      <c r="Z118" s="9" t="n">
        <f aca="false">O112-$Z$4</f>
        <v>-0.135891326336249</v>
      </c>
      <c r="AA118" s="9" t="n">
        <f aca="false">P112-$AA$4</f>
        <v>-1.29131482943281</v>
      </c>
      <c r="AB118" s="9" t="n">
        <f aca="false">Q112-$AB$4</f>
        <v>-5.11198983081526</v>
      </c>
    </row>
    <row r="119" customFormat="false" ht="15.75" hidden="false" customHeight="false" outlineLevel="0" collapsed="false">
      <c r="A119" s="7" t="n">
        <v>45463</v>
      </c>
      <c r="B119" s="1" t="n">
        <v>168.97</v>
      </c>
      <c r="C119" s="9" t="n">
        <v>3787.25</v>
      </c>
      <c r="D119" s="9" t="n">
        <v>2871.2</v>
      </c>
      <c r="E119" s="8" t="n">
        <v>2539.75</v>
      </c>
      <c r="F119" s="9" t="n">
        <v>1381.15</v>
      </c>
      <c r="G119" s="11" t="n">
        <v>1462.65</v>
      </c>
      <c r="H119" s="12" t="n">
        <v>0.492996348</v>
      </c>
      <c r="I119" s="12"/>
      <c r="J119" s="12"/>
      <c r="K119" s="8" t="n">
        <f aca="false">((B119-B118)/B118)*100</f>
        <v>1.33133433283358</v>
      </c>
      <c r="L119" s="8" t="n">
        <f aca="false">((C119-C118)/C118)*100</f>
        <v>-0.380093116237468</v>
      </c>
      <c r="M119" s="8" t="n">
        <f aca="false">((D119-D118)/D118)*100</f>
        <v>-2.13541932954991</v>
      </c>
      <c r="N119" s="8" t="n">
        <f aca="false">((E119-E118)/E118)*100</f>
        <v>0.542348726272236</v>
      </c>
      <c r="O119" s="8" t="n">
        <f aca="false">((F119-F118)/F118)*100</f>
        <v>-0.804395446547191</v>
      </c>
      <c r="P119" s="8" t="n">
        <f aca="false">((G119-G118)/G118)*100</f>
        <v>-0.837288135593214</v>
      </c>
      <c r="Q119" s="8" t="n">
        <f aca="false">((H119-H118)/H118)*100</f>
        <v>0.46998290497709</v>
      </c>
      <c r="S119" s="9"/>
      <c r="V119" s="9" t="n">
        <f aca="false">K113-$V$4</f>
        <v>1.45058482839238</v>
      </c>
      <c r="W119" s="9" t="n">
        <f aca="false">L113-$W$4</f>
        <v>-0.208661361551215</v>
      </c>
      <c r="X119" s="9" t="n">
        <f aca="false">M113-$X$4</f>
        <v>0.74853721281423</v>
      </c>
      <c r="Y119" s="9" t="n">
        <f aca="false">N113-$Y$4</f>
        <v>-0.158774897309242</v>
      </c>
      <c r="Z119" s="9" t="n">
        <f aca="false">O113-$Z$4</f>
        <v>-0.107873307615115</v>
      </c>
      <c r="AA119" s="9" t="n">
        <f aca="false">P113-$AA$4</f>
        <v>-0.525643718821538</v>
      </c>
      <c r="AB119" s="9" t="n">
        <f aca="false">Q113-$AB$4</f>
        <v>-1.04340819308204</v>
      </c>
    </row>
    <row r="120" customFormat="false" ht="15.75" hidden="false" customHeight="false" outlineLevel="0" collapsed="false">
      <c r="A120" s="7" t="n">
        <v>45464</v>
      </c>
      <c r="B120" s="1" t="n">
        <v>166.62</v>
      </c>
      <c r="C120" s="9" t="n">
        <v>3810.75</v>
      </c>
      <c r="D120" s="9" t="n">
        <v>2839.95</v>
      </c>
      <c r="E120" s="8" t="n">
        <v>2498.4</v>
      </c>
      <c r="F120" s="9" t="n">
        <v>1416.05</v>
      </c>
      <c r="G120" s="11" t="n">
        <v>1460</v>
      </c>
      <c r="H120" s="12" t="n">
        <v>0.488590958</v>
      </c>
      <c r="I120" s="12"/>
      <c r="J120" s="12"/>
      <c r="K120" s="8" t="n">
        <f aca="false">((B120-B119)/B119)*100</f>
        <v>-1.39077942830088</v>
      </c>
      <c r="L120" s="8" t="n">
        <f aca="false">((C120-C119)/C119)*100</f>
        <v>0.620503003498581</v>
      </c>
      <c r="M120" s="8" t="n">
        <f aca="false">((D120-D119)/D119)*100</f>
        <v>-1.08839509612706</v>
      </c>
      <c r="N120" s="8" t="n">
        <f aca="false">((E120-E119)/E119)*100</f>
        <v>-1.62811300324835</v>
      </c>
      <c r="O120" s="8" t="n">
        <f aca="false">((F120-F119)/F119)*100</f>
        <v>2.52687977410128</v>
      </c>
      <c r="P120" s="8" t="n">
        <f aca="false">((G120-G119)/G119)*100</f>
        <v>-0.181177998837732</v>
      </c>
      <c r="Q120" s="8" t="n">
        <f aca="false">((H120-H119)/H119)*100</f>
        <v>-0.893594854783783</v>
      </c>
      <c r="S120" s="9"/>
      <c r="V120" s="9" t="n">
        <f aca="false">K114-$V$4</f>
        <v>0.647311836951001</v>
      </c>
      <c r="W120" s="9" t="n">
        <f aca="false">L114-$W$4</f>
        <v>-0.56849856141655</v>
      </c>
      <c r="X120" s="9" t="n">
        <f aca="false">M114-$X$4</f>
        <v>-1.94156689504241</v>
      </c>
      <c r="Y120" s="9" t="n">
        <f aca="false">N114-$Y$4</f>
        <v>-0.096434152929439</v>
      </c>
      <c r="Z120" s="9" t="n">
        <f aca="false">O114-$Z$4</f>
        <v>0.589200801176922</v>
      </c>
      <c r="AA120" s="9" t="n">
        <f aca="false">P114-$AA$4</f>
        <v>0.129175038852239</v>
      </c>
      <c r="AB120" s="9" t="n">
        <f aca="false">Q114-$AB$4</f>
        <v>-3.99658928211155</v>
      </c>
    </row>
    <row r="121" customFormat="false" ht="15.75" hidden="false" customHeight="false" outlineLevel="0" collapsed="false">
      <c r="A121" s="7" t="n">
        <v>45467</v>
      </c>
      <c r="B121" s="1" t="n">
        <v>166.3</v>
      </c>
      <c r="C121" s="9" t="n">
        <v>3816.8</v>
      </c>
      <c r="D121" s="9" t="n">
        <v>2915.8</v>
      </c>
      <c r="E121" s="8" t="n">
        <v>2530.05</v>
      </c>
      <c r="F121" s="9" t="n">
        <v>1419.8</v>
      </c>
      <c r="G121" s="11" t="n">
        <v>1458.35</v>
      </c>
      <c r="H121" s="12" t="n">
        <v>0.478959493</v>
      </c>
      <c r="I121" s="12"/>
      <c r="J121" s="12"/>
      <c r="K121" s="8" t="n">
        <f aca="false">((B121-B120)/B120)*100</f>
        <v>-0.192053775057012</v>
      </c>
      <c r="L121" s="8" t="n">
        <f aca="false">((C121-C120)/C120)*100</f>
        <v>0.158761398674806</v>
      </c>
      <c r="M121" s="8" t="n">
        <f aca="false">((D121-D120)/D120)*100</f>
        <v>2.6708216693956</v>
      </c>
      <c r="N121" s="8" t="n">
        <f aca="false">((E121-E120)/E120)*100</f>
        <v>1.26681075888569</v>
      </c>
      <c r="O121" s="8" t="n">
        <f aca="false">((F121-F120)/F120)*100</f>
        <v>0.264821157445006</v>
      </c>
      <c r="P121" s="8" t="n">
        <f aca="false">((G121-G120)/G120)*100</f>
        <v>-0.113013698630143</v>
      </c>
      <c r="Q121" s="8" t="n">
        <f aca="false">((H121-H120)/H120)*100</f>
        <v>-1.97127368861378</v>
      </c>
      <c r="S121" s="9"/>
      <c r="V121" s="9" t="n">
        <f aca="false">K115-$V$4</f>
        <v>0.0206683821059895</v>
      </c>
      <c r="W121" s="9" t="n">
        <f aca="false">L115-$W$4</f>
        <v>1.17595709583801</v>
      </c>
      <c r="X121" s="9" t="n">
        <f aca="false">M115-$X$4</f>
        <v>2.41126836255218</v>
      </c>
      <c r="Y121" s="9" t="n">
        <f aca="false">N115-$Y$4</f>
        <v>0.655999289514264</v>
      </c>
      <c r="Z121" s="9" t="n">
        <f aca="false">O115-$Z$4</f>
        <v>-1.07147121796583</v>
      </c>
      <c r="AA121" s="9" t="n">
        <f aca="false">P115-$AA$4</f>
        <v>-1.583353349964</v>
      </c>
      <c r="AB121" s="9" t="n">
        <f aca="false">Q115-$AB$4</f>
        <v>1.64651032899152</v>
      </c>
    </row>
    <row r="122" customFormat="false" ht="15.75" hidden="false" customHeight="false" outlineLevel="0" collapsed="false">
      <c r="A122" s="7" t="n">
        <v>45468</v>
      </c>
      <c r="B122" s="1" t="n">
        <v>164.37</v>
      </c>
      <c r="C122" s="9" t="n">
        <v>3838.45</v>
      </c>
      <c r="D122" s="9" t="n">
        <v>2909.4</v>
      </c>
      <c r="E122" s="8" t="n">
        <v>2515.45</v>
      </c>
      <c r="F122" s="9" t="n">
        <v>1414.95</v>
      </c>
      <c r="G122" s="11" t="n">
        <v>1461</v>
      </c>
      <c r="H122" s="12" t="n">
        <v>0.474309643</v>
      </c>
      <c r="I122" s="12"/>
      <c r="J122" s="12"/>
      <c r="K122" s="8" t="n">
        <f aca="false">((B122-B121)/B121)*100</f>
        <v>-1.16055321707757</v>
      </c>
      <c r="L122" s="8" t="n">
        <f aca="false">((C122-C121)/C121)*100</f>
        <v>0.567229092433443</v>
      </c>
      <c r="M122" s="8" t="n">
        <f aca="false">((D122-D121)/D121)*100</f>
        <v>-0.219493792441186</v>
      </c>
      <c r="N122" s="8" t="n">
        <f aca="false">((E122-E121)/E121)*100</f>
        <v>-0.577063694393406</v>
      </c>
      <c r="O122" s="8" t="n">
        <f aca="false">((F122-F121)/F121)*100</f>
        <v>-0.341597408085639</v>
      </c>
      <c r="P122" s="8" t="n">
        <f aca="false">((G122-G121)/G121)*100</f>
        <v>0.181712209003332</v>
      </c>
      <c r="Q122" s="8" t="n">
        <f aca="false">((H122-H121)/H121)*100</f>
        <v>-0.970823225754503</v>
      </c>
      <c r="S122" s="9"/>
      <c r="V122" s="9" t="n">
        <f aca="false">K116-$V$4</f>
        <v>0.790084383596328</v>
      </c>
      <c r="W122" s="9" t="n">
        <f aca="false">L116-$W$4</f>
        <v>-1.22633041301067</v>
      </c>
      <c r="X122" s="9" t="n">
        <f aca="false">M116-$X$4</f>
        <v>2.08899764505941</v>
      </c>
      <c r="Y122" s="9" t="n">
        <f aca="false">N116-$Y$4</f>
        <v>-0.276000051552441</v>
      </c>
      <c r="Z122" s="9" t="n">
        <f aca="false">O116-$Z$4</f>
        <v>-0.0762932658429619</v>
      </c>
      <c r="AA122" s="9" t="n">
        <f aca="false">P116-$AA$4</f>
        <v>0.52544267960005</v>
      </c>
      <c r="AB122" s="9" t="n">
        <f aca="false">Q116-$AB$4</f>
        <v>-3.71270338765315</v>
      </c>
    </row>
    <row r="123" customFormat="false" ht="15.75" hidden="false" customHeight="false" outlineLevel="0" collapsed="false">
      <c r="A123" s="7" t="n">
        <v>45469</v>
      </c>
      <c r="B123" s="1" t="n">
        <v>164.27</v>
      </c>
      <c r="C123" s="9" t="n">
        <v>3855.85</v>
      </c>
      <c r="D123" s="9" t="n">
        <v>2851.5</v>
      </c>
      <c r="E123" s="8" t="n">
        <v>2534.25</v>
      </c>
      <c r="F123" s="9" t="n">
        <v>1459.5</v>
      </c>
      <c r="G123" s="11" t="n">
        <v>1451.65</v>
      </c>
      <c r="H123" s="12" t="n">
        <v>0.475526762</v>
      </c>
      <c r="I123" s="12"/>
      <c r="J123" s="12"/>
      <c r="K123" s="8" t="n">
        <f aca="false">((B123-B122)/B122)*100</f>
        <v>-0.0608383524974109</v>
      </c>
      <c r="L123" s="8" t="n">
        <f aca="false">((C123-C122)/C122)*100</f>
        <v>0.453307975875681</v>
      </c>
      <c r="M123" s="8" t="n">
        <f aca="false">((D123-D122)/D122)*100</f>
        <v>-1.99010105176325</v>
      </c>
      <c r="N123" s="8" t="n">
        <f aca="false">((E123-E122)/E122)*100</f>
        <v>0.74738118428115</v>
      </c>
      <c r="O123" s="8" t="n">
        <f aca="false">((F123-F122)/F122)*100</f>
        <v>3.14852114915721</v>
      </c>
      <c r="P123" s="8" t="n">
        <f aca="false">((G123-G122)/G122)*100</f>
        <v>-0.639972621492122</v>
      </c>
      <c r="Q123" s="8" t="n">
        <f aca="false">((H123-H122)/H122)*100</f>
        <v>0.256608529462259</v>
      </c>
      <c r="S123" s="9"/>
      <c r="V123" s="9" t="n">
        <f aca="false">K117-$V$4</f>
        <v>-0.496466089989528</v>
      </c>
      <c r="W123" s="9" t="n">
        <f aca="false">L117-$W$4</f>
        <v>-0.479941295508312</v>
      </c>
      <c r="X123" s="9" t="n">
        <f aca="false">M117-$X$4</f>
        <v>0.888288467654046</v>
      </c>
      <c r="Y123" s="9" t="n">
        <f aca="false">N117-$Y$4</f>
        <v>0.395247503603517</v>
      </c>
      <c r="Z123" s="9" t="n">
        <f aca="false">O117-$Z$4</f>
        <v>-0.125467255005415</v>
      </c>
      <c r="AA123" s="9" t="n">
        <f aca="false">P117-$AA$4</f>
        <v>-0.450258170360904</v>
      </c>
      <c r="AB123" s="9" t="n">
        <f aca="false">Q117-$AB$4</f>
        <v>5.17938351365997</v>
      </c>
    </row>
    <row r="124" customFormat="false" ht="15.75" hidden="false" customHeight="false" outlineLevel="0" collapsed="false">
      <c r="A124" s="7" t="n">
        <v>45470</v>
      </c>
      <c r="B124" s="1" t="n">
        <v>163.58</v>
      </c>
      <c r="C124" s="9" t="n">
        <v>3934.15</v>
      </c>
      <c r="D124" s="9" t="n">
        <v>2888.95</v>
      </c>
      <c r="E124" s="8" t="n">
        <v>2533.75</v>
      </c>
      <c r="F124" s="9" t="n">
        <v>1475.8</v>
      </c>
      <c r="G124" s="11" t="n">
        <v>1454.35</v>
      </c>
      <c r="H124" s="12" t="n">
        <v>0.469418274</v>
      </c>
      <c r="I124" s="12"/>
      <c r="J124" s="12"/>
      <c r="K124" s="8" t="n">
        <f aca="false">((B124-B123)/B123)*100</f>
        <v>-0.420040177756132</v>
      </c>
      <c r="L124" s="8" t="n">
        <f aca="false">((C124-C123)/C123)*100</f>
        <v>2.03068065407109</v>
      </c>
      <c r="M124" s="8" t="n">
        <f aca="false">((D124-D123)/D123)*100</f>
        <v>1.31334385411186</v>
      </c>
      <c r="N124" s="8" t="n">
        <f aca="false">((E124-E123)/E123)*100</f>
        <v>-0.0197297030679688</v>
      </c>
      <c r="O124" s="8" t="n">
        <f aca="false">((F124-F123)/F123)*100</f>
        <v>1.11682082905104</v>
      </c>
      <c r="P124" s="8" t="n">
        <f aca="false">((G124-G123)/G123)*100</f>
        <v>0.185995246788125</v>
      </c>
      <c r="Q124" s="8" t="n">
        <f aca="false">((H124-H123)/H123)*100</f>
        <v>-1.28457291747546</v>
      </c>
      <c r="S124" s="9"/>
      <c r="V124" s="9" t="n">
        <f aca="false">K118-$V$4</f>
        <v>-1.71910909786755</v>
      </c>
      <c r="W124" s="9" t="n">
        <f aca="false">L118-$W$4</f>
        <v>-0.388855179236413</v>
      </c>
      <c r="X124" s="9" t="n">
        <f aca="false">M118-$X$4</f>
        <v>-1.19580085581362</v>
      </c>
      <c r="Y124" s="9" t="n">
        <f aca="false">N118-$Y$4</f>
        <v>-0.866314124074426</v>
      </c>
      <c r="Z124" s="9" t="n">
        <f aca="false">O118-$Z$4</f>
        <v>-2.71241249030908</v>
      </c>
      <c r="AA124" s="9" t="n">
        <f aca="false">P118-$AA$4</f>
        <v>-0.519906579399358</v>
      </c>
      <c r="AB124" s="9" t="n">
        <f aca="false">Q118-$AB$4</f>
        <v>-3.40395554952362</v>
      </c>
    </row>
    <row r="125" customFormat="false" ht="15.75" hidden="false" customHeight="false" outlineLevel="0" collapsed="false">
      <c r="A125" s="7" t="n">
        <v>45471</v>
      </c>
      <c r="B125" s="1" t="n">
        <v>165.63</v>
      </c>
      <c r="C125" s="9" t="n">
        <v>3904.15</v>
      </c>
      <c r="D125" s="9" t="n">
        <v>2866.65</v>
      </c>
      <c r="E125" s="8" t="n">
        <v>2551.65</v>
      </c>
      <c r="F125" s="9" t="n">
        <v>1444.05</v>
      </c>
      <c r="G125" s="11" t="n">
        <v>1464.5</v>
      </c>
      <c r="H125" s="12" t="n">
        <v>0.474568998</v>
      </c>
      <c r="I125" s="12"/>
      <c r="J125" s="12"/>
      <c r="K125" s="8" t="n">
        <f aca="false">((B125-B124)/B124)*100</f>
        <v>1.25320943880669</v>
      </c>
      <c r="L125" s="8" t="n">
        <f aca="false">((C125-C124)/C124)*100</f>
        <v>-0.762553537612953</v>
      </c>
      <c r="M125" s="8" t="n">
        <f aca="false">((D125-D124)/D124)*100</f>
        <v>-0.771906748126473</v>
      </c>
      <c r="N125" s="8" t="n">
        <f aca="false">((E125-E124)/E124)*100</f>
        <v>0.706462752836708</v>
      </c>
      <c r="O125" s="8" t="n">
        <f aca="false">((F125-F124)/F124)*100</f>
        <v>-2.15137552513891</v>
      </c>
      <c r="P125" s="8" t="n">
        <f aca="false">((G125-G124)/G124)*100</f>
        <v>0.697906281156537</v>
      </c>
      <c r="Q125" s="8" t="n">
        <f aca="false">((H125-H124)/H124)*100</f>
        <v>1.09725681450569</v>
      </c>
      <c r="S125" s="9"/>
      <c r="V125" s="9" t="n">
        <f aca="false">K119-$V$4</f>
        <v>1.28685227665481</v>
      </c>
      <c r="W125" s="9" t="n">
        <f aca="false">L119-$W$4</f>
        <v>-0.417712416991007</v>
      </c>
      <c r="X125" s="9" t="n">
        <f aca="false">M119-$X$4</f>
        <v>-2.38419293933902</v>
      </c>
      <c r="Y125" s="9" t="n">
        <f aca="false">N119-$Y$4</f>
        <v>0.628845000770545</v>
      </c>
      <c r="Z125" s="9" t="n">
        <f aca="false">O119-$Z$4</f>
        <v>-0.996417276303889</v>
      </c>
      <c r="AA125" s="9" t="n">
        <f aca="false">P119-$AA$4</f>
        <v>-0.817747648235997</v>
      </c>
      <c r="AB125" s="9" t="n">
        <f aca="false">Q119-$AB$4</f>
        <v>-0.209274811426058</v>
      </c>
    </row>
    <row r="126" customFormat="false" ht="15.75" hidden="false" customHeight="false" outlineLevel="0" collapsed="false">
      <c r="A126" s="7" t="n">
        <v>45474</v>
      </c>
      <c r="B126" s="1" t="n">
        <v>167.66</v>
      </c>
      <c r="C126" s="9" t="n">
        <v>3978.2</v>
      </c>
      <c r="D126" s="9" t="n">
        <v>2875.85</v>
      </c>
      <c r="E126" s="8" t="n">
        <v>2568.1</v>
      </c>
      <c r="F126" s="9" t="n">
        <v>1454</v>
      </c>
      <c r="G126" s="11" t="n">
        <v>1470.5</v>
      </c>
      <c r="H126" s="12" t="n">
        <v>0.475446751</v>
      </c>
      <c r="I126" s="12"/>
      <c r="J126" s="12"/>
      <c r="K126" s="8" t="n">
        <f aca="false">((B126-B125)/B125)*100</f>
        <v>1.22562337740748</v>
      </c>
      <c r="L126" s="8" t="n">
        <f aca="false">((C126-C125)/C125)*100</f>
        <v>1.89669966574029</v>
      </c>
      <c r="M126" s="8" t="n">
        <f aca="false">((D126-D125)/D125)*100</f>
        <v>0.320932098442427</v>
      </c>
      <c r="N126" s="8" t="n">
        <f aca="false">((E126-E125)/E125)*100</f>
        <v>0.644680892755661</v>
      </c>
      <c r="O126" s="8" t="n">
        <f aca="false">((F126-F125)/F125)*100</f>
        <v>0.689034313216305</v>
      </c>
      <c r="P126" s="8" t="n">
        <f aca="false">((G126-G125)/G125)*100</f>
        <v>0.409696142027996</v>
      </c>
      <c r="Q126" s="8" t="n">
        <f aca="false">((H126-H125)/H125)*100</f>
        <v>0.184957931027762</v>
      </c>
      <c r="S126" s="9"/>
      <c r="V126" s="9" t="n">
        <f aca="false">K120-$V$4</f>
        <v>-1.43526148447965</v>
      </c>
      <c r="W126" s="9" t="n">
        <f aca="false">L120-$W$4</f>
        <v>0.582883702745041</v>
      </c>
      <c r="X126" s="9" t="n">
        <f aca="false">M120-$X$4</f>
        <v>-1.33716870591616</v>
      </c>
      <c r="Y126" s="9" t="n">
        <f aca="false">N120-$Y$4</f>
        <v>-1.54161672875004</v>
      </c>
      <c r="Z126" s="9" t="n">
        <f aca="false">O120-$Z$4</f>
        <v>2.33485794434458</v>
      </c>
      <c r="AA126" s="9" t="n">
        <f aca="false">P120-$AA$4</f>
        <v>-0.161637511480516</v>
      </c>
      <c r="AB126" s="9" t="n">
        <f aca="false">Q120-$AB$4</f>
        <v>-1.57285257118693</v>
      </c>
    </row>
    <row r="127" customFormat="false" ht="15.75" hidden="false" customHeight="false" outlineLevel="0" collapsed="false">
      <c r="A127" s="7" t="n">
        <v>45475</v>
      </c>
      <c r="B127" s="1" t="n">
        <v>168.3</v>
      </c>
      <c r="C127" s="9" t="n">
        <v>4017.4</v>
      </c>
      <c r="D127" s="9" t="n">
        <v>2865.15</v>
      </c>
      <c r="E127" s="8" t="n">
        <v>2544.45</v>
      </c>
      <c r="F127" s="9" t="n">
        <v>1418.95</v>
      </c>
      <c r="G127" s="11" t="n">
        <v>1454.35</v>
      </c>
      <c r="H127" s="12" t="n">
        <v>0.476417897</v>
      </c>
      <c r="I127" s="12"/>
      <c r="J127" s="12"/>
      <c r="K127" s="8" t="n">
        <f aca="false">((B127-B126)/B126)*100</f>
        <v>0.381724919479909</v>
      </c>
      <c r="L127" s="8" t="n">
        <f aca="false">((C127-C126)/C126)*100</f>
        <v>0.985370267960391</v>
      </c>
      <c r="M127" s="8" t="n">
        <f aca="false">((D127-D126)/D126)*100</f>
        <v>-0.372063911539191</v>
      </c>
      <c r="N127" s="8" t="n">
        <f aca="false">((E127-E126)/E126)*100</f>
        <v>-0.920914294614699</v>
      </c>
      <c r="O127" s="8" t="n">
        <f aca="false">((F127-F126)/F126)*100</f>
        <v>-2.41059147180192</v>
      </c>
      <c r="P127" s="8" t="n">
        <f aca="false">((G127-G126)/G126)*100</f>
        <v>-1.09826589595376</v>
      </c>
      <c r="Q127" s="8" t="n">
        <f aca="false">((H127-H126)/H126)*100</f>
        <v>0.204259677441771</v>
      </c>
      <c r="S127" s="9"/>
      <c r="V127" s="9" t="n">
        <f aca="false">K121-$V$4</f>
        <v>-0.23653583123578</v>
      </c>
      <c r="W127" s="9" t="n">
        <f aca="false">L121-$W$4</f>
        <v>0.121142097921267</v>
      </c>
      <c r="X127" s="9" t="n">
        <f aca="false">M121-$X$4</f>
        <v>2.42204805960649</v>
      </c>
      <c r="Y127" s="9" t="n">
        <f aca="false">N121-$Y$4</f>
        <v>1.353307033384</v>
      </c>
      <c r="Z127" s="9" t="n">
        <f aca="false">O121-$Z$4</f>
        <v>0.0727993276883076</v>
      </c>
      <c r="AA127" s="9" t="n">
        <f aca="false">P121-$AA$4</f>
        <v>-0.0934732112729265</v>
      </c>
      <c r="AB127" s="9" t="n">
        <f aca="false">Q121-$AB$4</f>
        <v>-2.65053140501693</v>
      </c>
    </row>
    <row r="128" customFormat="false" ht="15.75" hidden="false" customHeight="false" outlineLevel="0" collapsed="false">
      <c r="A128" s="7" t="n">
        <v>45476</v>
      </c>
      <c r="B128" s="1" t="n">
        <v>169.31</v>
      </c>
      <c r="C128" s="9" t="n">
        <v>3965.25</v>
      </c>
      <c r="D128" s="9" t="n">
        <v>2877.95</v>
      </c>
      <c r="E128" s="8" t="n">
        <v>2551.5</v>
      </c>
      <c r="F128" s="9" t="n">
        <v>1419.85</v>
      </c>
      <c r="G128" s="11" t="n">
        <v>1460</v>
      </c>
      <c r="H128" s="12" t="n">
        <v>0.484408097</v>
      </c>
      <c r="I128" s="12"/>
      <c r="J128" s="12"/>
      <c r="K128" s="8" t="n">
        <f aca="false">((B128-B127)/B127)*100</f>
        <v>0.600118835412948</v>
      </c>
      <c r="L128" s="8" t="n">
        <f aca="false">((C128-C127)/C127)*100</f>
        <v>-1.29810325085877</v>
      </c>
      <c r="M128" s="8" t="n">
        <f aca="false">((D128-D127)/D127)*100</f>
        <v>0.446747988761486</v>
      </c>
      <c r="N128" s="8" t="n">
        <f aca="false">((E128-E127)/E127)*100</f>
        <v>0.277073630843608</v>
      </c>
      <c r="O128" s="8" t="n">
        <f aca="false">((F128-F127)/F127)*100</f>
        <v>0.0634271820712403</v>
      </c>
      <c r="P128" s="8" t="n">
        <f aca="false">((G128-G127)/G127)*100</f>
        <v>0.388489703303888</v>
      </c>
      <c r="Q128" s="8" t="n">
        <f aca="false">((H128-H127)/H127)*100</f>
        <v>1.67714102478396</v>
      </c>
      <c r="S128" s="9"/>
      <c r="V128" s="9" t="n">
        <f aca="false">K122-$V$4</f>
        <v>-1.20503527325634</v>
      </c>
      <c r="W128" s="9" t="n">
        <f aca="false">L122-$W$4</f>
        <v>0.529609791679903</v>
      </c>
      <c r="X128" s="9" t="n">
        <f aca="false">M122-$X$4</f>
        <v>-0.468267402230293</v>
      </c>
      <c r="Y128" s="9" t="n">
        <f aca="false">N122-$Y$4</f>
        <v>-0.490567419895097</v>
      </c>
      <c r="Z128" s="9" t="n">
        <f aca="false">O122-$Z$4</f>
        <v>-0.533619237842337</v>
      </c>
      <c r="AA128" s="9" t="n">
        <f aca="false">P122-$AA$4</f>
        <v>0.201252696360549</v>
      </c>
      <c r="AB128" s="9" t="n">
        <f aca="false">Q122-$AB$4</f>
        <v>-1.65008094215765</v>
      </c>
    </row>
    <row r="129" customFormat="false" ht="15.75" hidden="false" customHeight="false" outlineLevel="0" collapsed="false">
      <c r="A129" s="7" t="n">
        <v>45477</v>
      </c>
      <c r="B129" s="1" t="n">
        <v>170.17</v>
      </c>
      <c r="C129" s="9" t="n">
        <v>4020.95</v>
      </c>
      <c r="D129" s="9" t="n">
        <v>2902.8</v>
      </c>
      <c r="E129" s="8" t="n">
        <v>2545.15</v>
      </c>
      <c r="F129" s="9" t="n">
        <v>1423.05</v>
      </c>
      <c r="G129" s="11" t="n">
        <v>1465.65</v>
      </c>
      <c r="H129" s="12" t="n">
        <v>0.466831288</v>
      </c>
      <c r="I129" s="12"/>
      <c r="J129" s="12"/>
      <c r="K129" s="8" t="n">
        <f aca="false">((B129-B128)/B128)*100</f>
        <v>0.507944008032594</v>
      </c>
      <c r="L129" s="8" t="n">
        <f aca="false">((C129-C128)/C128)*100</f>
        <v>1.40470336044385</v>
      </c>
      <c r="M129" s="8" t="n">
        <f aca="false">((D129-D128)/D128)*100</f>
        <v>0.863461839156357</v>
      </c>
      <c r="N129" s="8" t="n">
        <f aca="false">((E129-E128)/E128)*100</f>
        <v>-0.248873211836171</v>
      </c>
      <c r="O129" s="8" t="n">
        <f aca="false">((F129-F128)/F128)*100</f>
        <v>0.225375919991552</v>
      </c>
      <c r="P129" s="8" t="n">
        <f aca="false">((G129-G128)/G128)*100</f>
        <v>0.386986301369869</v>
      </c>
      <c r="Q129" s="8" t="n">
        <f aca="false">((H129-H128)/H128)*100</f>
        <v>-3.62851263404872</v>
      </c>
      <c r="S129" s="9"/>
      <c r="V129" s="9" t="n">
        <f aca="false">K123-$V$4</f>
        <v>-0.105320408676179</v>
      </c>
      <c r="W129" s="9" t="n">
        <f aca="false">L123-$W$4</f>
        <v>0.415688675122142</v>
      </c>
      <c r="X129" s="9" t="n">
        <f aca="false">M123-$X$4</f>
        <v>-2.23887466155236</v>
      </c>
      <c r="Y129" s="9" t="n">
        <f aca="false">N123-$Y$4</f>
        <v>0.833877458779459</v>
      </c>
      <c r="Z129" s="9" t="n">
        <f aca="false">O123-$Z$4</f>
        <v>2.95649931940051</v>
      </c>
      <c r="AA129" s="9" t="n">
        <f aca="false">P123-$AA$4</f>
        <v>-0.620432134134906</v>
      </c>
      <c r="AB129" s="9" t="n">
        <f aca="false">Q123-$AB$4</f>
        <v>-0.42264918694089</v>
      </c>
    </row>
    <row r="130" customFormat="false" ht="15.75" hidden="false" customHeight="false" outlineLevel="0" collapsed="false">
      <c r="A130" s="7" t="n">
        <v>45478</v>
      </c>
      <c r="B130" s="1" t="n">
        <v>171.28</v>
      </c>
      <c r="C130" s="9" t="n">
        <v>4011.8</v>
      </c>
      <c r="D130" s="9" t="n">
        <v>2880.6</v>
      </c>
      <c r="E130" s="8" t="n">
        <v>2574.15</v>
      </c>
      <c r="F130" s="9" t="n">
        <v>1429.7</v>
      </c>
      <c r="G130" s="11" t="n">
        <v>1465.65</v>
      </c>
      <c r="H130" s="12" t="n">
        <v>0.433716365</v>
      </c>
      <c r="I130" s="12"/>
      <c r="J130" s="12"/>
      <c r="K130" s="8" t="n">
        <f aca="false">((B130-B129)/B129)*100</f>
        <v>0.652288887583013</v>
      </c>
      <c r="L130" s="8" t="n">
        <f aca="false">((C130-C129)/C129)*100</f>
        <v>-0.227558164115436</v>
      </c>
      <c r="M130" s="8" t="n">
        <f aca="false">((D130-D129)/D129)*100</f>
        <v>-0.76477883422903</v>
      </c>
      <c r="N130" s="8" t="n">
        <f aca="false">((E130-E129)/E129)*100</f>
        <v>1.13942203799383</v>
      </c>
      <c r="O130" s="8" t="n">
        <f aca="false">((F130-F129)/F129)*100</f>
        <v>0.467306138224243</v>
      </c>
      <c r="P130" s="8" t="n">
        <f aca="false">((G130-G129)/G129)*100</f>
        <v>0</v>
      </c>
      <c r="Q130" s="8" t="n">
        <f aca="false">((H130-H129)/H129)*100</f>
        <v>-7.0935526069538</v>
      </c>
      <c r="S130" s="9"/>
      <c r="V130" s="9" t="n">
        <f aca="false">K124-$V$4</f>
        <v>-0.4645222339349</v>
      </c>
      <c r="W130" s="9" t="n">
        <f aca="false">L124-$W$4</f>
        <v>1.99306135331755</v>
      </c>
      <c r="X130" s="9" t="n">
        <f aca="false">M124-$X$4</f>
        <v>1.06457024432276</v>
      </c>
      <c r="Y130" s="9" t="n">
        <f aca="false">N124-$Y$4</f>
        <v>0.06676657143034</v>
      </c>
      <c r="Z130" s="9" t="n">
        <f aca="false">O124-$Z$4</f>
        <v>0.924798999294344</v>
      </c>
      <c r="AA130" s="9" t="n">
        <f aca="false">P124-$AA$4</f>
        <v>0.205535734145342</v>
      </c>
      <c r="AB130" s="9" t="n">
        <f aca="false">Q124-$AB$4</f>
        <v>-1.9638306338786</v>
      </c>
    </row>
    <row r="131" customFormat="false" ht="15.75" hidden="false" customHeight="false" outlineLevel="0" collapsed="false">
      <c r="A131" s="7" t="n">
        <v>45481</v>
      </c>
      <c r="B131" s="1" t="n">
        <v>170.07</v>
      </c>
      <c r="C131" s="9" t="n">
        <v>3993.2</v>
      </c>
      <c r="D131" s="9" t="n">
        <v>2851.35</v>
      </c>
      <c r="E131" s="8" t="n">
        <v>2603.4</v>
      </c>
      <c r="F131" s="9" t="n">
        <v>1435.15</v>
      </c>
      <c r="G131" s="11" t="n">
        <v>1462.65</v>
      </c>
      <c r="H131" s="12" t="n">
        <v>0.419178918</v>
      </c>
      <c r="I131" s="12"/>
      <c r="J131" s="12"/>
      <c r="K131" s="8" t="n">
        <f aca="false">((B131-B130)/B130)*100</f>
        <v>-0.706445586174689</v>
      </c>
      <c r="L131" s="8" t="n">
        <f aca="false">((C131-C130)/C130)*100</f>
        <v>-0.463632284759967</v>
      </c>
      <c r="M131" s="8" t="n">
        <f aca="false">((D131-D130)/D130)*100</f>
        <v>-1.0154134555301</v>
      </c>
      <c r="N131" s="8" t="n">
        <f aca="false">((E131-E130)/E130)*100</f>
        <v>1.13629741856535</v>
      </c>
      <c r="O131" s="8" t="n">
        <f aca="false">((F131-F130)/F130)*100</f>
        <v>0.381198852906207</v>
      </c>
      <c r="P131" s="8" t="n">
        <f aca="false">((G131-G130)/G130)*100</f>
        <v>-0.204687340088016</v>
      </c>
      <c r="Q131" s="8" t="n">
        <f aca="false">((H131-H130)/H130)*100</f>
        <v>-3.35183271214587</v>
      </c>
      <c r="S131" s="9"/>
      <c r="V131" s="9" t="n">
        <f aca="false">K125-$V$4</f>
        <v>1.20872738262792</v>
      </c>
      <c r="W131" s="9" t="n">
        <f aca="false">L125-$W$4</f>
        <v>-0.800172838366493</v>
      </c>
      <c r="X131" s="9" t="n">
        <f aca="false">M125-$X$4</f>
        <v>-1.02068035791558</v>
      </c>
      <c r="Y131" s="9" t="n">
        <f aca="false">N125-$Y$4</f>
        <v>0.792959027335017</v>
      </c>
      <c r="Z131" s="9" t="n">
        <f aca="false">O125-$Z$4</f>
        <v>-2.34339735489561</v>
      </c>
      <c r="AA131" s="9" t="n">
        <f aca="false">P125-$AA$4</f>
        <v>0.717446768513753</v>
      </c>
      <c r="AB131" s="9" t="n">
        <f aca="false">Q125-$AB$4</f>
        <v>0.417999098102542</v>
      </c>
    </row>
    <row r="132" customFormat="false" ht="15.75" hidden="false" customHeight="false" outlineLevel="0" collapsed="false">
      <c r="A132" s="7" t="n">
        <v>45482</v>
      </c>
      <c r="B132" s="1" t="n">
        <v>171.67</v>
      </c>
      <c r="C132" s="9" t="n">
        <v>3985.5</v>
      </c>
      <c r="D132" s="9" t="n">
        <v>2925.5</v>
      </c>
      <c r="E132" s="8" t="n">
        <v>2633.1</v>
      </c>
      <c r="F132" s="9" t="n">
        <v>1435.55</v>
      </c>
      <c r="G132" s="11" t="n">
        <v>1459</v>
      </c>
      <c r="H132" s="12" t="n">
        <v>0.431464892</v>
      </c>
      <c r="I132" s="12"/>
      <c r="J132" s="12"/>
      <c r="K132" s="8" t="n">
        <f aca="false">((B132-B131)/B131)*100</f>
        <v>0.940789086846589</v>
      </c>
      <c r="L132" s="8" t="n">
        <f aca="false">((C132-C131)/C131)*100</f>
        <v>-0.192827807272358</v>
      </c>
      <c r="M132" s="8" t="n">
        <f aca="false">((D132-D131)/D131)*100</f>
        <v>2.60052255948937</v>
      </c>
      <c r="N132" s="8" t="n">
        <f aca="false">((E132-E131)/E131)*100</f>
        <v>1.14081585618805</v>
      </c>
      <c r="O132" s="8" t="n">
        <f aca="false">((F132-F131)/F131)*100</f>
        <v>0.0278716510469194</v>
      </c>
      <c r="P132" s="8" t="n">
        <f aca="false">((G132-G131)/G131)*100</f>
        <v>-0.249547055002912</v>
      </c>
      <c r="Q132" s="8" t="n">
        <f aca="false">((H132-H131)/H131)*100</f>
        <v>2.9309618094868</v>
      </c>
      <c r="S132" s="9"/>
      <c r="V132" s="9" t="n">
        <f aca="false">K126-$V$4</f>
        <v>1.18114132122871</v>
      </c>
      <c r="W132" s="9" t="n">
        <f aca="false">L126-$W$4</f>
        <v>1.85908036498676</v>
      </c>
      <c r="X132" s="9" t="n">
        <f aca="false">M126-$X$4</f>
        <v>0.0721584886533192</v>
      </c>
      <c r="Y132" s="9" t="n">
        <f aca="false">N126-$Y$4</f>
        <v>0.73117716725397</v>
      </c>
      <c r="Z132" s="9" t="n">
        <f aca="false">O126-$Z$4</f>
        <v>0.497012483459607</v>
      </c>
      <c r="AA132" s="9" t="n">
        <f aca="false">P126-$AA$4</f>
        <v>0.429236629385213</v>
      </c>
      <c r="AB132" s="9" t="n">
        <f aca="false">Q126-$AB$4</f>
        <v>-0.494299785375387</v>
      </c>
    </row>
    <row r="133" customFormat="false" ht="15.75" hidden="false" customHeight="false" outlineLevel="0" collapsed="false">
      <c r="A133" s="7" t="n">
        <v>45483</v>
      </c>
      <c r="B133" s="1" t="n">
        <v>171.9</v>
      </c>
      <c r="C133" s="9" t="n">
        <v>3909.15</v>
      </c>
      <c r="D133" s="9" t="n">
        <v>2732</v>
      </c>
      <c r="E133" s="8" t="n">
        <v>2616.45</v>
      </c>
      <c r="F133" s="9" t="n">
        <v>1445.05</v>
      </c>
      <c r="G133" s="11" t="n">
        <v>1450</v>
      </c>
      <c r="H133" s="12" t="n">
        <v>0.435768264</v>
      </c>
      <c r="I133" s="12"/>
      <c r="J133" s="12"/>
      <c r="K133" s="8" t="n">
        <f aca="false">((B133-B132)/B132)*100</f>
        <v>0.133977981010088</v>
      </c>
      <c r="L133" s="8" t="n">
        <f aca="false">((C133-C132)/C132)*100</f>
        <v>-1.91569439217162</v>
      </c>
      <c r="M133" s="8" t="n">
        <f aca="false">((D133-D132)/D132)*100</f>
        <v>-6.61425397367971</v>
      </c>
      <c r="N133" s="8" t="n">
        <f aca="false">((E133-E132)/E132)*100</f>
        <v>-0.632334510652846</v>
      </c>
      <c r="O133" s="8" t="n">
        <f aca="false">((F133-F132)/F132)*100</f>
        <v>0.661767266901188</v>
      </c>
      <c r="P133" s="8" t="n">
        <f aca="false">((G133-G132)/G132)*100</f>
        <v>-0.616860863605209</v>
      </c>
      <c r="Q133" s="8" t="n">
        <f aca="false">((H133-H132)/H132)*100</f>
        <v>0.997386364404367</v>
      </c>
      <c r="S133" s="9"/>
      <c r="V133" s="9" t="n">
        <f aca="false">K127-$V$4</f>
        <v>0.33724286330114</v>
      </c>
      <c r="W133" s="9" t="n">
        <f aca="false">L127-$W$4</f>
        <v>0.947750967206852</v>
      </c>
      <c r="X133" s="9" t="n">
        <f aca="false">M127-$X$4</f>
        <v>-0.620837521328298</v>
      </c>
      <c r="Y133" s="9" t="n">
        <f aca="false">N127-$Y$4</f>
        <v>-0.83441802011639</v>
      </c>
      <c r="Z133" s="9" t="n">
        <f aca="false">O127-$Z$4</f>
        <v>-2.60261330155862</v>
      </c>
      <c r="AA133" s="9" t="n">
        <f aca="false">P127-$AA$4</f>
        <v>-1.07872540859655</v>
      </c>
      <c r="AB133" s="9" t="n">
        <f aca="false">Q127-$AB$4</f>
        <v>-0.474998038961378</v>
      </c>
    </row>
    <row r="134" customFormat="false" ht="15.75" hidden="false" customHeight="false" outlineLevel="0" collapsed="false">
      <c r="A134" s="7" t="n">
        <v>45484</v>
      </c>
      <c r="B134" s="1" t="n">
        <v>174.44</v>
      </c>
      <c r="C134" s="9" t="n">
        <v>3923.7</v>
      </c>
      <c r="D134" s="9" t="n">
        <v>2698.05</v>
      </c>
      <c r="E134" s="8" t="n">
        <v>2593.2</v>
      </c>
      <c r="F134" s="9" t="n">
        <v>1437.95</v>
      </c>
      <c r="G134" s="11" t="n">
        <v>1439</v>
      </c>
      <c r="H134" s="12" t="n">
        <v>0.438883203</v>
      </c>
      <c r="I134" s="12"/>
      <c r="J134" s="12"/>
      <c r="K134" s="8" t="n">
        <f aca="false">((B134-B133)/B133)*100</f>
        <v>1.47760325770797</v>
      </c>
      <c r="L134" s="8" t="n">
        <f aca="false">((C134-C133)/C133)*100</f>
        <v>0.372203675990937</v>
      </c>
      <c r="M134" s="8" t="n">
        <f aca="false">((D134-D133)/D133)*100</f>
        <v>-1.2426793557833</v>
      </c>
      <c r="N134" s="8" t="n">
        <f aca="false">((E134-E133)/E133)*100</f>
        <v>-0.888608610904088</v>
      </c>
      <c r="O134" s="8" t="n">
        <f aca="false">((F134-F133)/F133)*100</f>
        <v>-0.491332479844982</v>
      </c>
      <c r="P134" s="8" t="n">
        <f aca="false">((G134-G133)/G133)*100</f>
        <v>-0.758620689655172</v>
      </c>
      <c r="Q134" s="8" t="n">
        <f aca="false">((H134-H133)/H133)*100</f>
        <v>0.714815478164326</v>
      </c>
      <c r="S134" s="9"/>
      <c r="V134" s="9" t="n">
        <f aca="false">K128-$V$4</f>
        <v>0.555636779234179</v>
      </c>
      <c r="W134" s="9" t="n">
        <f aca="false">L128-$W$4</f>
        <v>-1.33572255161231</v>
      </c>
      <c r="X134" s="9" t="n">
        <f aca="false">M128-$X$4</f>
        <v>0.197974378972379</v>
      </c>
      <c r="Y134" s="9" t="n">
        <f aca="false">N128-$Y$4</f>
        <v>0.363569905341917</v>
      </c>
      <c r="Z134" s="9" t="n">
        <f aca="false">O128-$Z$4</f>
        <v>-0.128594647685458</v>
      </c>
      <c r="AA134" s="9" t="n">
        <f aca="false">P128-$AA$4</f>
        <v>0.408030190661104</v>
      </c>
      <c r="AB134" s="9" t="n">
        <f aca="false">Q128-$AB$4</f>
        <v>0.997883308380814</v>
      </c>
    </row>
    <row r="135" customFormat="false" ht="15.75" hidden="false" customHeight="false" outlineLevel="0" collapsed="false">
      <c r="A135" s="7" t="n">
        <v>45485</v>
      </c>
      <c r="B135" s="1" t="n">
        <v>167.04</v>
      </c>
      <c r="C135" s="9" t="n">
        <v>4183.95</v>
      </c>
      <c r="D135" s="9" t="n">
        <v>2703.95</v>
      </c>
      <c r="E135" s="8" t="n">
        <v>2609</v>
      </c>
      <c r="F135" s="9" t="n">
        <v>1433.25</v>
      </c>
      <c r="G135" s="11" t="n">
        <v>1421</v>
      </c>
      <c r="H135" s="12" t="n">
        <v>0.449314762</v>
      </c>
      <c r="I135" s="12"/>
      <c r="J135" s="12"/>
      <c r="K135" s="8" t="n">
        <f aca="false">((B135-B134)/B134)*100</f>
        <v>-4.24214629672094</v>
      </c>
      <c r="L135" s="8" t="n">
        <f aca="false">((C135-C134)/C134)*100</f>
        <v>6.63277008945638</v>
      </c>
      <c r="M135" s="8" t="n">
        <f aca="false">((D135-D134)/D134)*100</f>
        <v>0.218676451511263</v>
      </c>
      <c r="N135" s="8" t="n">
        <f aca="false">((E135-E134)/E134)*100</f>
        <v>0.60928582446399</v>
      </c>
      <c r="O135" s="8" t="n">
        <f aca="false">((F135-F134)/F134)*100</f>
        <v>-0.326854202162804</v>
      </c>
      <c r="P135" s="8" t="n">
        <f aca="false">((G135-G134)/G134)*100</f>
        <v>-1.25086865879083</v>
      </c>
      <c r="Q135" s="8" t="n">
        <f aca="false">((H135-H134)/H134)*100</f>
        <v>2.37684170382797</v>
      </c>
      <c r="S135" s="9"/>
      <c r="V135" s="9" t="n">
        <f aca="false">K129-$V$4</f>
        <v>0.463461951853826</v>
      </c>
      <c r="W135" s="9" t="n">
        <f aca="false">L129-$W$4</f>
        <v>1.36708405969031</v>
      </c>
      <c r="X135" s="9" t="n">
        <f aca="false">M129-$X$4</f>
        <v>0.614688229367249</v>
      </c>
      <c r="Y135" s="9" t="n">
        <f aca="false">N129-$Y$4</f>
        <v>-0.162376937337862</v>
      </c>
      <c r="Z135" s="9" t="n">
        <f aca="false">O129-$Z$4</f>
        <v>0.0333540902348537</v>
      </c>
      <c r="AA135" s="9" t="n">
        <f aca="false">P129-$AA$4</f>
        <v>0.406526788727086</v>
      </c>
      <c r="AB135" s="9" t="n">
        <f aca="false">Q129-$AB$4</f>
        <v>-4.30777035045187</v>
      </c>
    </row>
    <row r="136" customFormat="false" ht="15.75" hidden="false" customHeight="false" outlineLevel="0" collapsed="false">
      <c r="A136" s="7" t="n">
        <v>45488</v>
      </c>
      <c r="B136" s="1" t="n">
        <v>169.7</v>
      </c>
      <c r="C136" s="9" t="n">
        <v>4169.2</v>
      </c>
      <c r="D136" s="9" t="n">
        <v>2731.05</v>
      </c>
      <c r="E136" s="8" t="n">
        <v>2605.1</v>
      </c>
      <c r="F136" s="9" t="n">
        <v>1437.6</v>
      </c>
      <c r="G136" s="11" t="n">
        <v>1421.5</v>
      </c>
      <c r="H136" s="12" t="n">
        <v>0.523429203</v>
      </c>
      <c r="I136" s="12"/>
      <c r="J136" s="12"/>
      <c r="K136" s="8" t="n">
        <f aca="false">((B136-B135)/B135)*100</f>
        <v>1.59243295019157</v>
      </c>
      <c r="L136" s="8" t="n">
        <f aca="false">((C136-C135)/C135)*100</f>
        <v>-0.352537673729371</v>
      </c>
      <c r="M136" s="8" t="n">
        <f aca="false">((D136-D135)/D135)*100</f>
        <v>1.0022374674088</v>
      </c>
      <c r="N136" s="8" t="n">
        <f aca="false">((E136-E135)/E135)*100</f>
        <v>-0.149482560367961</v>
      </c>
      <c r="O136" s="8" t="n">
        <f aca="false">((F136-F135)/F135)*100</f>
        <v>0.303506017791726</v>
      </c>
      <c r="P136" s="8" t="n">
        <f aca="false">((G136-G135)/G135)*100</f>
        <v>0.0351864883884588</v>
      </c>
      <c r="Q136" s="8" t="n">
        <f aca="false">((H136-H135)/H135)*100</f>
        <v>16.49499354753</v>
      </c>
      <c r="S136" s="9"/>
      <c r="V136" s="9" t="n">
        <f aca="false">K130-$V$4</f>
        <v>0.607806831404245</v>
      </c>
      <c r="W136" s="9" t="n">
        <f aca="false">L130-$W$4</f>
        <v>-0.265177464868976</v>
      </c>
      <c r="X136" s="9" t="n">
        <f aca="false">M130-$X$4</f>
        <v>-1.01355244401814</v>
      </c>
      <c r="Y136" s="9" t="n">
        <f aca="false">N130-$Y$4</f>
        <v>1.22591831249214</v>
      </c>
      <c r="Z136" s="9" t="n">
        <f aca="false">O130-$Z$4</f>
        <v>0.275284308467545</v>
      </c>
      <c r="AA136" s="9" t="n">
        <f aca="false">P130-$AA$4</f>
        <v>0.0195404873572167</v>
      </c>
      <c r="AB136" s="9" t="n">
        <f aca="false">Q130-$AB$4</f>
        <v>-7.77281032335695</v>
      </c>
    </row>
    <row r="137" customFormat="false" ht="15.75" hidden="false" customHeight="false" outlineLevel="0" collapsed="false">
      <c r="A137" s="7" t="n">
        <v>45489</v>
      </c>
      <c r="B137" s="1" t="n">
        <v>170.74</v>
      </c>
      <c r="C137" s="9" t="n">
        <v>4178.45</v>
      </c>
      <c r="D137" s="9" t="n">
        <v>2756.75</v>
      </c>
      <c r="E137" s="8" t="n">
        <v>2607.3</v>
      </c>
      <c r="F137" s="9" t="n">
        <v>1466.5</v>
      </c>
      <c r="G137" s="11" t="n">
        <v>1398.5</v>
      </c>
      <c r="H137" s="12" t="n">
        <v>0.537661645</v>
      </c>
      <c r="I137" s="12"/>
      <c r="J137" s="12"/>
      <c r="K137" s="8" t="n">
        <f aca="false">((B137-B136)/B136)*100</f>
        <v>0.612846199175027</v>
      </c>
      <c r="L137" s="8" t="n">
        <f aca="false">((C137-C136)/C136)*100</f>
        <v>0.221865106015543</v>
      </c>
      <c r="M137" s="8" t="n">
        <f aca="false">((D137-D136)/D136)*100</f>
        <v>0.941030006773945</v>
      </c>
      <c r="N137" s="8" t="n">
        <f aca="false">((E137-E136)/E136)*100</f>
        <v>0.084449733215626</v>
      </c>
      <c r="O137" s="8" t="n">
        <f aca="false">((F137-F136)/F136)*100</f>
        <v>2.01029493600446</v>
      </c>
      <c r="P137" s="8" t="n">
        <f aca="false">((G137-G136)/G136)*100</f>
        <v>-1.61800914526908</v>
      </c>
      <c r="Q137" s="8" t="n">
        <f aca="false">((H137-H136)/H136)*100</f>
        <v>2.7190767955681</v>
      </c>
      <c r="S137" s="9"/>
      <c r="V137" s="9" t="n">
        <f aca="false">K131-$V$4</f>
        <v>-0.750927642353458</v>
      </c>
      <c r="W137" s="9" t="n">
        <f aca="false">L131-$W$4</f>
        <v>-0.501251585513507</v>
      </c>
      <c r="X137" s="9" t="n">
        <f aca="false">M131-$X$4</f>
        <v>-1.26418706531921</v>
      </c>
      <c r="Y137" s="9" t="n">
        <f aca="false">N131-$Y$4</f>
        <v>1.22279369306366</v>
      </c>
      <c r="Z137" s="9" t="n">
        <f aca="false">O131-$Z$4</f>
        <v>0.189177023149509</v>
      </c>
      <c r="AA137" s="9" t="n">
        <f aca="false">P131-$AA$4</f>
        <v>-0.185146852730799</v>
      </c>
      <c r="AB137" s="9" t="n">
        <f aca="false">Q131-$AB$4</f>
        <v>-4.03109042854902</v>
      </c>
    </row>
    <row r="138" customFormat="false" ht="15.75" hidden="false" customHeight="false" outlineLevel="0" collapsed="false">
      <c r="A138" s="7" t="n">
        <v>45491</v>
      </c>
      <c r="B138" s="1" t="n">
        <v>169.61</v>
      </c>
      <c r="C138" s="9" t="n">
        <v>4315.55</v>
      </c>
      <c r="D138" s="9" t="n">
        <v>2819.45</v>
      </c>
      <c r="E138" s="8" t="n">
        <v>2627.05</v>
      </c>
      <c r="F138" s="9" t="n">
        <v>1483.65</v>
      </c>
      <c r="G138" s="22" t="n">
        <v>1392</v>
      </c>
      <c r="H138" s="12" t="n">
        <v>0.627385156</v>
      </c>
      <c r="I138" s="12"/>
      <c r="J138" s="12"/>
      <c r="K138" s="8" t="n">
        <f aca="false">((B138-B137)/B137)*100</f>
        <v>-0.661824997071568</v>
      </c>
      <c r="L138" s="8" t="n">
        <f aca="false">((C138-C137)/C137)*100</f>
        <v>3.28112098984074</v>
      </c>
      <c r="M138" s="8" t="n">
        <f aca="false">((D138-D137)/D137)*100</f>
        <v>2.27441733925818</v>
      </c>
      <c r="N138" s="8" t="n">
        <f aca="false">((E138-E137)/E137)*100</f>
        <v>0.757488589728838</v>
      </c>
      <c r="O138" s="8" t="n">
        <f aca="false">((F138-F137)/F137)*100</f>
        <v>1.16945107398569</v>
      </c>
      <c r="P138" s="8" t="n">
        <f aca="false">((G138-G137)/G137)*100</f>
        <v>-0.464783696818019</v>
      </c>
      <c r="Q138" s="8" t="n">
        <f aca="false">((H138-H137)/H137)*100</f>
        <v>16.6877276507235</v>
      </c>
      <c r="S138" s="9"/>
      <c r="V138" s="9" t="n">
        <f aca="false">K132-$V$4</f>
        <v>0.896307030667821</v>
      </c>
      <c r="W138" s="9" t="n">
        <f aca="false">L132-$W$4</f>
        <v>-0.230447108025898</v>
      </c>
      <c r="X138" s="9" t="n">
        <f aca="false">M132-$X$4</f>
        <v>2.35174894970026</v>
      </c>
      <c r="Y138" s="9" t="n">
        <f aca="false">N132-$Y$4</f>
        <v>1.22731213068636</v>
      </c>
      <c r="Z138" s="9" t="n">
        <f aca="false">O132-$Z$4</f>
        <v>-0.164150178709779</v>
      </c>
      <c r="AA138" s="9" t="n">
        <f aca="false">P132-$AA$4</f>
        <v>-0.230006567645695</v>
      </c>
      <c r="AB138" s="9" t="n">
        <f aca="false">Q132-$AB$4</f>
        <v>2.25170409308365</v>
      </c>
    </row>
    <row r="139" customFormat="false" ht="15.75" hidden="false" customHeight="false" outlineLevel="0" collapsed="false">
      <c r="A139" s="7" t="n">
        <v>45492</v>
      </c>
      <c r="B139" s="1" t="n">
        <v>165.49</v>
      </c>
      <c r="C139" s="9" t="n">
        <v>4302.4</v>
      </c>
      <c r="D139" s="9" t="n">
        <v>2749.3</v>
      </c>
      <c r="E139" s="8" t="n">
        <v>2597.85</v>
      </c>
      <c r="F139" s="9" t="n">
        <v>1461.75</v>
      </c>
      <c r="G139" s="11" t="n">
        <v>1381.65</v>
      </c>
      <c r="H139" s="12" t="n">
        <v>0.569228751</v>
      </c>
      <c r="I139" s="12"/>
      <c r="J139" s="12"/>
      <c r="K139" s="8" t="n">
        <f aca="false">((B139-B138)/B138)*100</f>
        <v>-2.4291020576617</v>
      </c>
      <c r="L139" s="8" t="n">
        <f aca="false">((C139-C138)/C138)*100</f>
        <v>-0.304712029752883</v>
      </c>
      <c r="M139" s="8" t="n">
        <f aca="false">((D139-D138)/D138)*100</f>
        <v>-2.48807391512528</v>
      </c>
      <c r="N139" s="8" t="n">
        <f aca="false">((E139-E138)/E138)*100</f>
        <v>-1.11151291372453</v>
      </c>
      <c r="O139" s="8" t="n">
        <f aca="false">((F139-F138)/F138)*100</f>
        <v>-1.47608937417855</v>
      </c>
      <c r="P139" s="8" t="n">
        <f aca="false">((G139-G138)/G138)*100</f>
        <v>-0.743534482758614</v>
      </c>
      <c r="Q139" s="8" t="n">
        <f aca="false">((H139-H138)/H138)*100</f>
        <v>-9.26964950378902</v>
      </c>
      <c r="S139" s="9"/>
      <c r="V139" s="9" t="n">
        <f aca="false">K133-$V$4</f>
        <v>0.0894959248313197</v>
      </c>
      <c r="W139" s="9" t="n">
        <f aca="false">L133-$W$4</f>
        <v>-1.95331369292516</v>
      </c>
      <c r="X139" s="9" t="n">
        <f aca="false">M133-$X$4</f>
        <v>-6.86302758346882</v>
      </c>
      <c r="Y139" s="9" t="n">
        <f aca="false">N133-$Y$4</f>
        <v>-0.545838236154537</v>
      </c>
      <c r="Z139" s="9" t="n">
        <f aca="false">O133-$Z$4</f>
        <v>0.46974543714449</v>
      </c>
      <c r="AA139" s="9" t="n">
        <f aca="false">P133-$AA$4</f>
        <v>-0.597320376247992</v>
      </c>
      <c r="AB139" s="9" t="n">
        <f aca="false">Q133-$AB$4</f>
        <v>0.318128648001218</v>
      </c>
    </row>
    <row r="140" customFormat="false" ht="15.75" hidden="false" customHeight="false" outlineLevel="0" collapsed="false">
      <c r="A140" s="7" t="n">
        <v>45495</v>
      </c>
      <c r="B140" s="1" t="n">
        <v>168.19</v>
      </c>
      <c r="C140" s="9" t="n">
        <v>4287.35</v>
      </c>
      <c r="D140" s="9" t="n">
        <v>2804.75</v>
      </c>
      <c r="E140" s="8" t="n">
        <v>2587.3</v>
      </c>
      <c r="F140" s="9" t="n">
        <v>1465.4</v>
      </c>
      <c r="G140" s="11" t="n">
        <v>1374.35</v>
      </c>
      <c r="H140" s="12" t="n">
        <v>0.598016039</v>
      </c>
      <c r="I140" s="12"/>
      <c r="J140" s="12"/>
      <c r="K140" s="8" t="n">
        <f aca="false">((B140-B139)/B139)*100</f>
        <v>1.63151852075653</v>
      </c>
      <c r="L140" s="8" t="n">
        <f aca="false">((C140-C139)/C139)*100</f>
        <v>-0.349804760133862</v>
      </c>
      <c r="M140" s="8" t="n">
        <f aca="false">((D140-D139)/D139)*100</f>
        <v>2.01687702324227</v>
      </c>
      <c r="N140" s="8" t="n">
        <f aca="false">((E140-E139)/E139)*100</f>
        <v>-0.406105048405402</v>
      </c>
      <c r="O140" s="8" t="n">
        <f aca="false">((F140-F139)/F139)*100</f>
        <v>0.249700701214304</v>
      </c>
      <c r="P140" s="8" t="n">
        <f aca="false">((G140-G139)/G139)*100</f>
        <v>-0.528353779900856</v>
      </c>
      <c r="Q140" s="8" t="n">
        <f aca="false">((H140-H139)/H139)*100</f>
        <v>5.0572442009346</v>
      </c>
      <c r="S140" s="9"/>
      <c r="V140" s="9" t="n">
        <f aca="false">K134-$V$4</f>
        <v>1.4331212015292</v>
      </c>
      <c r="W140" s="9" t="n">
        <f aca="false">L134-$W$4</f>
        <v>0.334584375237398</v>
      </c>
      <c r="X140" s="9" t="n">
        <f aca="false">M134-$X$4</f>
        <v>-1.49145296557241</v>
      </c>
      <c r="Y140" s="9" t="n">
        <f aca="false">N134-$Y$4</f>
        <v>-0.802112336405779</v>
      </c>
      <c r="Z140" s="9" t="n">
        <f aca="false">O134-$Z$4</f>
        <v>-0.68335430960168</v>
      </c>
      <c r="AA140" s="9" t="n">
        <f aca="false">P134-$AA$4</f>
        <v>-0.739080202297956</v>
      </c>
      <c r="AB140" s="9" t="n">
        <f aca="false">Q134-$AB$4</f>
        <v>0.0355577617611774</v>
      </c>
    </row>
    <row r="141" customFormat="false" ht="15.75" hidden="false" customHeight="false" outlineLevel="0" collapsed="false">
      <c r="A141" s="7" t="n">
        <v>45496</v>
      </c>
      <c r="B141" s="1" t="n">
        <v>165.82</v>
      </c>
      <c r="C141" s="9" t="n">
        <v>4302.35</v>
      </c>
      <c r="D141" s="9" t="n">
        <v>2821.35</v>
      </c>
      <c r="E141" s="8" t="n">
        <v>2581.55</v>
      </c>
      <c r="F141" s="9" t="n">
        <v>1465.7</v>
      </c>
      <c r="G141" s="11" t="n">
        <v>1357.65</v>
      </c>
      <c r="H141" s="12" t="n">
        <v>0.607432198</v>
      </c>
      <c r="I141" s="12"/>
      <c r="J141" s="12"/>
      <c r="K141" s="8" t="n">
        <f aca="false">((B141-B140)/B140)*100</f>
        <v>-1.4091206373744</v>
      </c>
      <c r="L141" s="8" t="n">
        <f aca="false">((C141-C140)/C140)*100</f>
        <v>0.349866467631521</v>
      </c>
      <c r="M141" s="8" t="n">
        <f aca="false">((D141-D140)/D140)*100</f>
        <v>0.59185310633746</v>
      </c>
      <c r="N141" s="8" t="n">
        <f aca="false">((E141-E140)/E140)*100</f>
        <v>-0.222239400146871</v>
      </c>
      <c r="O141" s="8" t="n">
        <f aca="false">((F141-F140)/F140)*100</f>
        <v>0.0204722260133721</v>
      </c>
      <c r="P141" s="8" t="n">
        <f aca="false">((G141-G140)/G140)*100</f>
        <v>-1.21511987484992</v>
      </c>
      <c r="Q141" s="8" t="n">
        <f aca="false">((H141-H140)/H140)*100</f>
        <v>1.57456629687486</v>
      </c>
      <c r="S141" s="9"/>
      <c r="V141" s="9" t="n">
        <f aca="false">K135-$V$4</f>
        <v>-4.28662835289971</v>
      </c>
      <c r="W141" s="9" t="n">
        <f aca="false">L135-$W$4</f>
        <v>6.59515078870284</v>
      </c>
      <c r="X141" s="9" t="n">
        <f aca="false">M135-$X$4</f>
        <v>-0.0300971582778441</v>
      </c>
      <c r="Y141" s="9" t="n">
        <f aca="false">N135-$Y$4</f>
        <v>0.695782098962299</v>
      </c>
      <c r="Z141" s="9" t="n">
        <f aca="false">O135-$Z$4</f>
        <v>-0.518876031919502</v>
      </c>
      <c r="AA141" s="9" t="n">
        <f aca="false">P135-$AA$4</f>
        <v>-1.23132817143361</v>
      </c>
      <c r="AB141" s="9" t="n">
        <f aca="false">Q135-$AB$4</f>
        <v>1.69758398742482</v>
      </c>
    </row>
    <row r="142" customFormat="false" ht="15.75" hidden="false" customHeight="false" outlineLevel="0" collapsed="false">
      <c r="A142" s="7" t="n">
        <v>45497</v>
      </c>
      <c r="B142" s="1" t="n">
        <v>168.79</v>
      </c>
      <c r="C142" s="9" t="n">
        <v>4306.25</v>
      </c>
      <c r="D142" s="9" t="n">
        <v>2805.5</v>
      </c>
      <c r="E142" s="8" t="n">
        <v>2541.4</v>
      </c>
      <c r="F142" s="9" t="n">
        <v>1455.2</v>
      </c>
      <c r="G142" s="11" t="n">
        <v>1346.65</v>
      </c>
      <c r="H142" s="12" t="n">
        <v>0.598191283</v>
      </c>
      <c r="I142" s="12"/>
      <c r="J142" s="12"/>
      <c r="K142" s="8" t="n">
        <f aca="false">((B142-B141)/B141)*100</f>
        <v>1.7910987818116</v>
      </c>
      <c r="L142" s="8" t="n">
        <f aca="false">((C142-C141)/C141)*100</f>
        <v>0.0906481341592301</v>
      </c>
      <c r="M142" s="8" t="n">
        <f aca="false">((D142-D141)/D141)*100</f>
        <v>-0.561787796622181</v>
      </c>
      <c r="N142" s="8" t="n">
        <f aca="false">((E142-E141)/E141)*100</f>
        <v>-1.55526718444346</v>
      </c>
      <c r="O142" s="8" t="n">
        <f aca="false">((F142-F141)/F141)*100</f>
        <v>-0.716381251279252</v>
      </c>
      <c r="P142" s="8" t="n">
        <f aca="false">((G142-G141)/G141)*100</f>
        <v>-0.810223548042574</v>
      </c>
      <c r="Q142" s="8" t="n">
        <f aca="false">((H142-H141)/H141)*100</f>
        <v>-1.52130806210573</v>
      </c>
      <c r="S142" s="9"/>
      <c r="V142" s="9" t="n">
        <f aca="false">K136-$V$4</f>
        <v>1.5479508940128</v>
      </c>
      <c r="W142" s="9" t="n">
        <f aca="false">L136-$W$4</f>
        <v>-0.39015697448291</v>
      </c>
      <c r="X142" s="9" t="n">
        <f aca="false">M136-$X$4</f>
        <v>0.753463857619697</v>
      </c>
      <c r="Y142" s="9" t="n">
        <f aca="false">N136-$Y$4</f>
        <v>-0.0629862858696518</v>
      </c>
      <c r="Z142" s="9" t="n">
        <f aca="false">O136-$Z$4</f>
        <v>0.111484188035028</v>
      </c>
      <c r="AA142" s="9" t="n">
        <f aca="false">P136-$AA$4</f>
        <v>0.0547269757456755</v>
      </c>
      <c r="AB142" s="9" t="n">
        <f aca="false">Q136-$AB$4</f>
        <v>15.8157358311269</v>
      </c>
    </row>
    <row r="143" customFormat="false" ht="15.75" hidden="false" customHeight="false" outlineLevel="0" collapsed="false">
      <c r="A143" s="7" t="n">
        <v>45498</v>
      </c>
      <c r="B143" s="1" t="n">
        <v>176.85</v>
      </c>
      <c r="C143" s="9" t="n">
        <v>4322.5</v>
      </c>
      <c r="D143" s="9" t="n">
        <v>2811.4</v>
      </c>
      <c r="E143" s="8" t="n">
        <v>2480.65</v>
      </c>
      <c r="F143" s="9" t="n">
        <v>1449.15</v>
      </c>
      <c r="G143" s="11" t="n">
        <v>1328.35</v>
      </c>
      <c r="H143" s="12" t="n">
        <v>0.618545355</v>
      </c>
      <c r="I143" s="12"/>
      <c r="J143" s="12"/>
      <c r="K143" s="8" t="n">
        <f aca="false">((B143-B142)/B142)*100</f>
        <v>4.77516440547426</v>
      </c>
      <c r="L143" s="8" t="n">
        <f aca="false">((C143-C142)/C142)*100</f>
        <v>0.377358490566038</v>
      </c>
      <c r="M143" s="8" t="n">
        <f aca="false">((D143-D142)/D142)*100</f>
        <v>0.210301194083054</v>
      </c>
      <c r="N143" s="8" t="n">
        <f aca="false">((E143-E142)/E142)*100</f>
        <v>-2.39041473203746</v>
      </c>
      <c r="O143" s="8" t="n">
        <f aca="false">((F143-F142)/F142)*100</f>
        <v>-0.415750412314455</v>
      </c>
      <c r="P143" s="8" t="n">
        <f aca="false">((G143-G142)/G142)*100</f>
        <v>-1.35892770950137</v>
      </c>
      <c r="Q143" s="8" t="n">
        <f aca="false">((H143-H142)/H142)*100</f>
        <v>3.40260257520335</v>
      </c>
      <c r="S143" s="9"/>
      <c r="V143" s="9" t="n">
        <f aca="false">K137-$V$4</f>
        <v>0.568364142996259</v>
      </c>
      <c r="W143" s="9" t="n">
        <f aca="false">L137-$W$4</f>
        <v>0.184245805262003</v>
      </c>
      <c r="X143" s="9" t="n">
        <f aca="false">M137-$X$4</f>
        <v>0.692256396984837</v>
      </c>
      <c r="Y143" s="9" t="n">
        <f aca="false">N137-$Y$4</f>
        <v>0.170946007713935</v>
      </c>
      <c r="Z143" s="9" t="n">
        <f aca="false">O137-$Z$4</f>
        <v>1.81827310624776</v>
      </c>
      <c r="AA143" s="9" t="n">
        <f aca="false">P137-$AA$4</f>
        <v>-1.59846865791187</v>
      </c>
      <c r="AB143" s="9" t="n">
        <f aca="false">Q137-$AB$4</f>
        <v>2.03981907916496</v>
      </c>
    </row>
    <row r="144" customFormat="false" ht="15.75" hidden="false" customHeight="false" outlineLevel="0" collapsed="false">
      <c r="A144" s="7" t="n">
        <v>45499</v>
      </c>
      <c r="B144" s="1" t="n">
        <v>176.55</v>
      </c>
      <c r="C144" s="9" t="n">
        <v>4387.85</v>
      </c>
      <c r="D144" s="9" t="n">
        <v>2887.8</v>
      </c>
      <c r="E144" s="8" t="n">
        <v>2476.9</v>
      </c>
      <c r="F144" s="9" t="n">
        <v>1514.4</v>
      </c>
      <c r="G144" s="11" t="n">
        <v>1336.5</v>
      </c>
      <c r="H144" s="12" t="n">
        <v>0.599767932</v>
      </c>
      <c r="I144" s="12"/>
      <c r="J144" s="12"/>
      <c r="K144" s="8" t="n">
        <f aca="false">((B144-B143)/B143)*100</f>
        <v>-0.169635284139091</v>
      </c>
      <c r="L144" s="8" t="n">
        <f aca="false">((C144-C143)/C143)*100</f>
        <v>1.51185656448815</v>
      </c>
      <c r="M144" s="8" t="n">
        <f aca="false">((D144-D143)/D143)*100</f>
        <v>2.71750729174077</v>
      </c>
      <c r="N144" s="8" t="n">
        <f aca="false">((E144-E143)/E143)*100</f>
        <v>-0.151170056235261</v>
      </c>
      <c r="O144" s="8" t="n">
        <f aca="false">((F144-F143)/F143)*100</f>
        <v>4.50263947831487</v>
      </c>
      <c r="P144" s="8" t="n">
        <f aca="false">((G144-G143)/G143)*100</f>
        <v>0.613543117401294</v>
      </c>
      <c r="Q144" s="8" t="n">
        <f aca="false">((H144-H143)/H143)*100</f>
        <v>-3.0357390688028</v>
      </c>
      <c r="S144" s="9"/>
      <c r="V144" s="9" t="n">
        <f aca="false">K138-$V$4</f>
        <v>-0.706307053250337</v>
      </c>
      <c r="W144" s="9" t="n">
        <f aca="false">L138-$W$4</f>
        <v>3.2435016890872</v>
      </c>
      <c r="X144" s="9" t="n">
        <f aca="false">M138-$X$4</f>
        <v>2.02564372946907</v>
      </c>
      <c r="Y144" s="9" t="n">
        <f aca="false">N138-$Y$4</f>
        <v>0.843984864227147</v>
      </c>
      <c r="Z144" s="9" t="n">
        <f aca="false">O138-$Z$4</f>
        <v>0.977429244228988</v>
      </c>
      <c r="AA144" s="9" t="n">
        <f aca="false">P138-$AA$4</f>
        <v>-0.445243209460803</v>
      </c>
      <c r="AB144" s="9" t="n">
        <f aca="false">Q138-$AB$4</f>
        <v>16.0084699343204</v>
      </c>
    </row>
    <row r="145" customFormat="false" ht="15.75" hidden="false" customHeight="false" outlineLevel="0" collapsed="false">
      <c r="A145" s="7" t="n">
        <v>45502</v>
      </c>
      <c r="B145" s="1" t="n">
        <v>180.39</v>
      </c>
      <c r="C145" s="9" t="n">
        <v>4381.1</v>
      </c>
      <c r="D145" s="9" t="n">
        <v>2933</v>
      </c>
      <c r="E145" s="8" t="n">
        <v>2470.3</v>
      </c>
      <c r="F145" s="9" t="n">
        <v>1481.35</v>
      </c>
      <c r="G145" s="11" t="n">
        <v>1331</v>
      </c>
      <c r="H145" s="12" t="n">
        <v>0.602178082</v>
      </c>
      <c r="I145" s="12"/>
      <c r="J145" s="12"/>
      <c r="K145" s="8" t="n">
        <f aca="false">((B145-B144)/B144)*100</f>
        <v>2.17502124044179</v>
      </c>
      <c r="L145" s="8" t="n">
        <f aca="false">((C145-C144)/C144)*100</f>
        <v>-0.153833882197432</v>
      </c>
      <c r="M145" s="8" t="n">
        <f aca="false">((D145-D144)/D144)*100</f>
        <v>1.56520534663065</v>
      </c>
      <c r="N145" s="8" t="n">
        <f aca="false">((E145-E144)/E144)*100</f>
        <v>-0.26646210989543</v>
      </c>
      <c r="O145" s="8" t="n">
        <f aca="false">((F145-F144)/F144)*100</f>
        <v>-2.18238246170102</v>
      </c>
      <c r="P145" s="8" t="n">
        <f aca="false">((G145-G144)/G144)*100</f>
        <v>-0.411522633744856</v>
      </c>
      <c r="Q145" s="8" t="n">
        <f aca="false">((H145-H144)/H144)*100</f>
        <v>0.40184709308533</v>
      </c>
      <c r="S145" s="9"/>
      <c r="V145" s="9" t="n">
        <f aca="false">K139-$V$4</f>
        <v>-2.47358411384047</v>
      </c>
      <c r="W145" s="9" t="n">
        <f aca="false">L139-$W$4</f>
        <v>-0.342331330506423</v>
      </c>
      <c r="X145" s="9" t="n">
        <f aca="false">M139-$X$4</f>
        <v>-2.73684752491439</v>
      </c>
      <c r="Y145" s="9" t="n">
        <f aca="false">N139-$Y$4</f>
        <v>-1.02501663922622</v>
      </c>
      <c r="Z145" s="9" t="n">
        <f aca="false">O139-$Z$4</f>
        <v>-1.66811120393525</v>
      </c>
      <c r="AA145" s="9" t="n">
        <f aca="false">P139-$AA$4</f>
        <v>-0.723993995401398</v>
      </c>
      <c r="AB145" s="9" t="n">
        <f aca="false">Q139-$AB$4</f>
        <v>-9.94890722019217</v>
      </c>
    </row>
    <row r="146" customFormat="false" ht="15.75" hidden="false" customHeight="false" outlineLevel="0" collapsed="false">
      <c r="A146" s="7" t="n">
        <v>45503</v>
      </c>
      <c r="B146" s="1" t="n">
        <v>182.95</v>
      </c>
      <c r="C146" s="9" t="n">
        <v>4365.35</v>
      </c>
      <c r="D146" s="9" t="n">
        <v>2922.1</v>
      </c>
      <c r="E146" s="8" t="n">
        <v>2457.65</v>
      </c>
      <c r="F146" s="9" t="n">
        <v>1470.35</v>
      </c>
      <c r="G146" s="11" t="n">
        <v>1329.35</v>
      </c>
      <c r="H146" s="12" t="n">
        <v>0.601354187</v>
      </c>
      <c r="I146" s="12"/>
      <c r="J146" s="12"/>
      <c r="K146" s="8" t="n">
        <f aca="false">((B146-B145)/B145)*100</f>
        <v>1.41914740284938</v>
      </c>
      <c r="L146" s="8" t="n">
        <f aca="false">((C146-C145)/C145)*100</f>
        <v>-0.359498756020178</v>
      </c>
      <c r="M146" s="8" t="n">
        <f aca="false">((D146-D145)/D145)*100</f>
        <v>-0.371633140129563</v>
      </c>
      <c r="N146" s="8" t="n">
        <f aca="false">((E146-E145)/E145)*100</f>
        <v>-0.51208355260495</v>
      </c>
      <c r="O146" s="8" t="n">
        <f aca="false">((F146-F145)/F145)*100</f>
        <v>-0.742565902723867</v>
      </c>
      <c r="P146" s="8" t="n">
        <f aca="false">((G146-G145)/G145)*100</f>
        <v>-0.123966942148767</v>
      </c>
      <c r="Q146" s="8" t="n">
        <f aca="false">((H146-H145)/H145)*100</f>
        <v>-0.136819161079997</v>
      </c>
      <c r="S146" s="9"/>
      <c r="V146" s="9" t="n">
        <f aca="false">K140-$V$4</f>
        <v>1.58703646457777</v>
      </c>
      <c r="W146" s="9" t="n">
        <f aca="false">L140-$W$4</f>
        <v>-0.387424060887401</v>
      </c>
      <c r="X146" s="9" t="n">
        <f aca="false">M140-$X$4</f>
        <v>1.76810341345317</v>
      </c>
      <c r="Y146" s="9" t="n">
        <f aca="false">N140-$Y$4</f>
        <v>-0.319608773907093</v>
      </c>
      <c r="Z146" s="9" t="n">
        <f aca="false">O140-$Z$4</f>
        <v>0.0576788714576063</v>
      </c>
      <c r="AA146" s="9" t="n">
        <f aca="false">P140-$AA$4</f>
        <v>-0.50881329254364</v>
      </c>
      <c r="AB146" s="9" t="n">
        <f aca="false">Q140-$AB$4</f>
        <v>4.37798648453145</v>
      </c>
    </row>
    <row r="147" customFormat="false" ht="15.75" hidden="false" customHeight="false" outlineLevel="0" collapsed="false">
      <c r="A147" s="7" t="n">
        <v>45504</v>
      </c>
      <c r="B147" s="1" t="n">
        <v>181.67</v>
      </c>
      <c r="C147" s="9" t="n">
        <v>4385.35</v>
      </c>
      <c r="D147" s="9" t="n">
        <v>2907.8</v>
      </c>
      <c r="E147" s="8" t="n">
        <v>2456.35</v>
      </c>
      <c r="F147" s="9" t="n">
        <v>1491.55</v>
      </c>
      <c r="G147" s="11" t="n">
        <v>1381.5</v>
      </c>
      <c r="H147" s="12" t="n">
        <v>0.627331703</v>
      </c>
      <c r="I147" s="12"/>
      <c r="J147" s="12"/>
      <c r="K147" s="8" t="n">
        <f aca="false">((B147-B146)/B146)*100</f>
        <v>-0.699644711669856</v>
      </c>
      <c r="L147" s="8" t="n">
        <f aca="false">((C147-C146)/C146)*100</f>
        <v>0.458153412670233</v>
      </c>
      <c r="M147" s="8" t="n">
        <f aca="false">((D147-D146)/D146)*100</f>
        <v>-0.489374080284717</v>
      </c>
      <c r="N147" s="8" t="n">
        <f aca="false">((E147-E146)/E146)*100</f>
        <v>-0.0528960592435938</v>
      </c>
      <c r="O147" s="8" t="n">
        <f aca="false">((F147-F146)/F146)*100</f>
        <v>1.44183357703948</v>
      </c>
      <c r="P147" s="8" t="n">
        <f aca="false">((G147-G146)/G146)*100</f>
        <v>3.92296987249408</v>
      </c>
      <c r="Q147" s="8" t="n">
        <f aca="false">((H147-H146)/H146)*100</f>
        <v>4.31983622324059</v>
      </c>
      <c r="S147" s="9"/>
      <c r="V147" s="9" t="n">
        <f aca="false">K141-$V$4</f>
        <v>-1.45360269355317</v>
      </c>
      <c r="W147" s="9" t="n">
        <f aca="false">L141-$W$4</f>
        <v>0.312247166877981</v>
      </c>
      <c r="X147" s="9" t="n">
        <f aca="false">M141-$X$4</f>
        <v>0.343079496548353</v>
      </c>
      <c r="Y147" s="9" t="n">
        <f aca="false">N141-$Y$4</f>
        <v>-0.135743125648562</v>
      </c>
      <c r="Z147" s="9" t="n">
        <f aca="false">O141-$Z$4</f>
        <v>-0.171549603743326</v>
      </c>
      <c r="AA147" s="9" t="n">
        <f aca="false">P141-$AA$4</f>
        <v>-1.1955793874927</v>
      </c>
      <c r="AB147" s="9" t="n">
        <f aca="false">Q141-$AB$4</f>
        <v>0.895308580471714</v>
      </c>
    </row>
    <row r="148" customFormat="false" ht="15.75" hidden="false" customHeight="false" outlineLevel="0" collapsed="false">
      <c r="A148" s="7" t="n">
        <v>45505</v>
      </c>
      <c r="B148" s="1" t="n">
        <v>179.73</v>
      </c>
      <c r="C148" s="9" t="n">
        <v>4397.1</v>
      </c>
      <c r="D148" s="9" t="n">
        <v>2828.4</v>
      </c>
      <c r="E148" s="8" t="n">
        <v>2484</v>
      </c>
      <c r="F148" s="9" t="n">
        <v>1505.5</v>
      </c>
      <c r="G148" s="11" t="n">
        <v>1394.35</v>
      </c>
      <c r="H148" s="12" t="n">
        <v>0.624135948</v>
      </c>
      <c r="I148" s="12"/>
      <c r="J148" s="12"/>
      <c r="K148" s="8" t="n">
        <f aca="false">((B148-B147)/B147)*100</f>
        <v>-1.06787031430616</v>
      </c>
      <c r="L148" s="8" t="n">
        <f aca="false">((C148-C147)/C147)*100</f>
        <v>0.267937564846592</v>
      </c>
      <c r="M148" s="8" t="n">
        <f aca="false">((D148-D147)/D147)*100</f>
        <v>-2.73058669784717</v>
      </c>
      <c r="N148" s="8" t="n">
        <f aca="false">((E148-E147)/E147)*100</f>
        <v>1.12565391739777</v>
      </c>
      <c r="O148" s="8" t="n">
        <f aca="false">((F148-F147)/F147)*100</f>
        <v>0.935268680231977</v>
      </c>
      <c r="P148" s="8" t="n">
        <f aca="false">((G148-G147)/G147)*100</f>
        <v>0.930148389431771</v>
      </c>
      <c r="Q148" s="8" t="n">
        <f aca="false">((H148-H147)/H147)*100</f>
        <v>-0.509420293078973</v>
      </c>
      <c r="S148" s="9"/>
      <c r="V148" s="9" t="n">
        <f aca="false">K142-$V$4</f>
        <v>1.74661672563283</v>
      </c>
      <c r="W148" s="9" t="n">
        <f aca="false">L142-$W$4</f>
        <v>0.0530288334056906</v>
      </c>
      <c r="X148" s="9" t="n">
        <f aca="false">M142-$X$4</f>
        <v>-0.810561406411289</v>
      </c>
      <c r="Y148" s="9" t="n">
        <f aca="false">N142-$Y$4</f>
        <v>-1.46877090994515</v>
      </c>
      <c r="Z148" s="9" t="n">
        <f aca="false">O142-$Z$4</f>
        <v>-0.90840308103595</v>
      </c>
      <c r="AA148" s="9" t="n">
        <f aca="false">P142-$AA$4</f>
        <v>-0.790683060685357</v>
      </c>
      <c r="AB148" s="9" t="n">
        <f aca="false">Q142-$AB$4</f>
        <v>-2.20056577850887</v>
      </c>
    </row>
    <row r="149" customFormat="false" ht="15.75" hidden="false" customHeight="false" outlineLevel="0" collapsed="false">
      <c r="A149" s="7" t="n">
        <v>45506</v>
      </c>
      <c r="B149" s="1" t="n">
        <v>177.29</v>
      </c>
      <c r="C149" s="9" t="n">
        <v>4283.05</v>
      </c>
      <c r="D149" s="9" t="n">
        <v>2749.65</v>
      </c>
      <c r="E149" s="8" t="n">
        <v>2495.1</v>
      </c>
      <c r="F149" s="9" t="n">
        <v>1493.8</v>
      </c>
      <c r="G149" s="11" t="n">
        <v>1382.65</v>
      </c>
      <c r="H149" s="12" t="n">
        <v>0.596494865</v>
      </c>
      <c r="I149" s="12"/>
      <c r="J149" s="12"/>
      <c r="K149" s="8" t="n">
        <f aca="false">((B149-B148)/B148)*100</f>
        <v>-1.35759194347076</v>
      </c>
      <c r="L149" s="8" t="n">
        <f aca="false">((C149-C148)/C148)*100</f>
        <v>-2.5937549748698</v>
      </c>
      <c r="M149" s="8" t="n">
        <f aca="false">((D149-D148)/D148)*100</f>
        <v>-2.78425965210013</v>
      </c>
      <c r="N149" s="8" t="n">
        <f aca="false">((E149-E148)/E148)*100</f>
        <v>0.446859903381639</v>
      </c>
      <c r="O149" s="8" t="n">
        <f aca="false">((F149-F148)/F148)*100</f>
        <v>-0.777150448356031</v>
      </c>
      <c r="P149" s="8" t="n">
        <f aca="false">((G149-G148)/G148)*100</f>
        <v>-0.839100656219731</v>
      </c>
      <c r="Q149" s="8" t="n">
        <f aca="false">((H149-H148)/H148)*100</f>
        <v>-4.42869587764876</v>
      </c>
      <c r="S149" s="9"/>
      <c r="V149" s="9" t="n">
        <f aca="false">K143-$V$4</f>
        <v>4.73068234929549</v>
      </c>
      <c r="W149" s="9" t="n">
        <f aca="false">L143-$W$4</f>
        <v>0.339739189812498</v>
      </c>
      <c r="X149" s="9" t="n">
        <f aca="false">M143-$X$4</f>
        <v>-0.0384724157060529</v>
      </c>
      <c r="Y149" s="9" t="n">
        <f aca="false">N143-$Y$4</f>
        <v>-2.30391845753915</v>
      </c>
      <c r="Z149" s="9" t="n">
        <f aca="false">O143-$Z$4</f>
        <v>-0.607772242071153</v>
      </c>
      <c r="AA149" s="9" t="n">
        <f aca="false">P143-$AA$4</f>
        <v>-1.33938722214415</v>
      </c>
      <c r="AB149" s="9" t="n">
        <f aca="false">Q143-$AB$4</f>
        <v>2.7233448588002</v>
      </c>
    </row>
    <row r="150" customFormat="false" ht="15.75" hidden="false" customHeight="false" outlineLevel="0" collapsed="false">
      <c r="A150" s="7" t="n">
        <v>45509</v>
      </c>
      <c r="B150" s="1" t="n">
        <v>170.59</v>
      </c>
      <c r="C150" s="9" t="n">
        <v>4155.05</v>
      </c>
      <c r="D150" s="9" t="n">
        <v>2678.95</v>
      </c>
      <c r="E150" s="8" t="n">
        <v>2510.9</v>
      </c>
      <c r="F150" s="9" t="n">
        <v>1465.7</v>
      </c>
      <c r="G150" s="11" t="n">
        <v>1371.65</v>
      </c>
      <c r="H150" s="12" t="n">
        <v>0.523000237</v>
      </c>
      <c r="I150" s="12"/>
      <c r="J150" s="12"/>
      <c r="K150" s="8" t="n">
        <f aca="false">((B150-B149)/B149)*100</f>
        <v>-3.77911895764002</v>
      </c>
      <c r="L150" s="8" t="n">
        <f aca="false">((C150-C149)/C149)*100</f>
        <v>-2.98852453275119</v>
      </c>
      <c r="M150" s="8" t="n">
        <f aca="false">((D150-D149)/D149)*100</f>
        <v>-2.57123633917045</v>
      </c>
      <c r="N150" s="8" t="n">
        <f aca="false">((E150-E149)/E149)*100</f>
        <v>0.633241152659219</v>
      </c>
      <c r="O150" s="8" t="n">
        <f aca="false">((F150-F149)/F149)*100</f>
        <v>-1.8811085821395</v>
      </c>
      <c r="P150" s="8" t="n">
        <f aca="false">((G150-G149)/G149)*100</f>
        <v>-0.795573717137381</v>
      </c>
      <c r="Q150" s="8" t="n">
        <f aca="false">((H150-H149)/H149)*100</f>
        <v>-12.3210830993491</v>
      </c>
      <c r="S150" s="9"/>
      <c r="V150" s="9" t="n">
        <f aca="false">K144-$V$4</f>
        <v>-0.21411734031786</v>
      </c>
      <c r="W150" s="9" t="n">
        <f aca="false">L144-$W$4</f>
        <v>1.47423726373461</v>
      </c>
      <c r="X150" s="9" t="n">
        <f aca="false">M144-$X$4</f>
        <v>2.46873368195167</v>
      </c>
      <c r="Y150" s="9" t="n">
        <f aca="false">N144-$Y$4</f>
        <v>-0.0646737817369521</v>
      </c>
      <c r="Z150" s="9" t="n">
        <f aca="false">O144-$Z$4</f>
        <v>4.31061764855818</v>
      </c>
      <c r="AA150" s="9" t="n">
        <f aca="false">P144-$AA$4</f>
        <v>0.633083604758511</v>
      </c>
      <c r="AB150" s="9" t="n">
        <f aca="false">Q144-$AB$4</f>
        <v>-3.71499678520595</v>
      </c>
    </row>
    <row r="151" customFormat="false" ht="15.75" hidden="false" customHeight="false" outlineLevel="0" collapsed="false">
      <c r="A151" s="7" t="n">
        <v>45510</v>
      </c>
      <c r="B151" s="1" t="n">
        <v>167.01</v>
      </c>
      <c r="C151" s="9" t="n">
        <v>4171.2</v>
      </c>
      <c r="D151" s="9" t="n">
        <v>2632.95</v>
      </c>
      <c r="E151" s="8" t="n">
        <v>2508.5</v>
      </c>
      <c r="F151" s="9" t="n">
        <v>1443.55</v>
      </c>
      <c r="G151" s="11" t="n">
        <v>1350</v>
      </c>
      <c r="H151" s="12" t="n">
        <v>0.490257398</v>
      </c>
      <c r="I151" s="12"/>
      <c r="J151" s="12"/>
      <c r="K151" s="8" t="n">
        <f aca="false">((B151-B150)/B150)*100</f>
        <v>-2.09859898001056</v>
      </c>
      <c r="L151" s="8" t="n">
        <f aca="false">((C151-C150)/C150)*100</f>
        <v>0.388683650016237</v>
      </c>
      <c r="M151" s="8" t="n">
        <f aca="false">((D151-D150)/D150)*100</f>
        <v>-1.71709065118797</v>
      </c>
      <c r="N151" s="8" t="n">
        <f aca="false">((E151-E150)/E150)*100</f>
        <v>-0.0955832569994859</v>
      </c>
      <c r="O151" s="8" t="n">
        <f aca="false">((F151-F150)/F150)*100</f>
        <v>-1.51122330627005</v>
      </c>
      <c r="P151" s="8" t="n">
        <f aca="false">((G151-G150)/G150)*100</f>
        <v>-1.57839098895491</v>
      </c>
      <c r="Q151" s="8" t="n">
        <f aca="false">((H151-H150)/H150)*100</f>
        <v>-6.26057823373414</v>
      </c>
      <c r="S151" s="9"/>
      <c r="V151" s="9" t="n">
        <f aca="false">K145-$V$4</f>
        <v>2.13053918426302</v>
      </c>
      <c r="W151" s="9" t="n">
        <f aca="false">L145-$W$4</f>
        <v>-0.191453182950971</v>
      </c>
      <c r="X151" s="9" t="n">
        <f aca="false">M145-$X$4</f>
        <v>1.31643173684154</v>
      </c>
      <c r="Y151" s="9" t="n">
        <f aca="false">N145-$Y$4</f>
        <v>-0.179965835397121</v>
      </c>
      <c r="Z151" s="9" t="n">
        <f aca="false">O145-$Z$4</f>
        <v>-2.37440429145771</v>
      </c>
      <c r="AA151" s="9" t="n">
        <f aca="false">P145-$AA$4</f>
        <v>-0.391982146387639</v>
      </c>
      <c r="AB151" s="9" t="n">
        <f aca="false">Q145-$AB$4</f>
        <v>-0.277410623317819</v>
      </c>
    </row>
    <row r="152" customFormat="false" ht="15.75" hidden="false" customHeight="false" outlineLevel="0" collapsed="false">
      <c r="A152" s="7" t="n">
        <v>45511</v>
      </c>
      <c r="B152" s="1" t="n">
        <v>172.22</v>
      </c>
      <c r="C152" s="9" t="n">
        <v>4200.45</v>
      </c>
      <c r="D152" s="9" t="n">
        <v>2680.85</v>
      </c>
      <c r="E152" s="8" t="n">
        <v>2522.8</v>
      </c>
      <c r="F152" s="9" t="n">
        <v>1441.75</v>
      </c>
      <c r="G152" s="11" t="n">
        <v>1376.5</v>
      </c>
      <c r="H152" s="12" t="n">
        <v>0.504586575</v>
      </c>
      <c r="I152" s="12"/>
      <c r="J152" s="12"/>
      <c r="K152" s="8" t="n">
        <f aca="false">((B152-B151)/B151)*100</f>
        <v>3.11957367822287</v>
      </c>
      <c r="L152" s="8" t="n">
        <f aca="false">((C152-C151)/C151)*100</f>
        <v>0.701237054085155</v>
      </c>
      <c r="M152" s="8" t="n">
        <f aca="false">((D152-D151)/D151)*100</f>
        <v>1.81925216961963</v>
      </c>
      <c r="N152" s="8" t="n">
        <f aca="false">((E152-E151)/E151)*100</f>
        <v>0.570061789914299</v>
      </c>
      <c r="O152" s="8" t="n">
        <f aca="false">((F152-F151)/F151)*100</f>
        <v>-0.124692598108826</v>
      </c>
      <c r="P152" s="8" t="n">
        <f aca="false">((G152-G151)/G151)*100</f>
        <v>1.96296296296296</v>
      </c>
      <c r="Q152" s="8" t="n">
        <f aca="false">((H152-H151)/H151)*100</f>
        <v>2.92278649102609</v>
      </c>
      <c r="S152" s="9"/>
      <c r="V152" s="9" t="n">
        <f aca="false">K146-$V$4</f>
        <v>1.37466534667062</v>
      </c>
      <c r="W152" s="9" t="n">
        <f aca="false">L146-$W$4</f>
        <v>-0.397118056773717</v>
      </c>
      <c r="X152" s="9" t="n">
        <f aca="false">M146-$X$4</f>
        <v>-0.620406749918671</v>
      </c>
      <c r="Y152" s="9" t="n">
        <f aca="false">N146-$Y$4</f>
        <v>-0.425587278106642</v>
      </c>
      <c r="Z152" s="9" t="n">
        <f aca="false">O146-$Z$4</f>
        <v>-0.934587732480565</v>
      </c>
      <c r="AA152" s="9" t="n">
        <f aca="false">P146-$AA$4</f>
        <v>-0.10442645479155</v>
      </c>
      <c r="AB152" s="9" t="n">
        <f aca="false">Q146-$AB$4</f>
        <v>-0.816076877483146</v>
      </c>
    </row>
    <row r="153" customFormat="false" ht="15.75" hidden="false" customHeight="false" outlineLevel="0" collapsed="false">
      <c r="A153" s="7" t="n">
        <v>45512</v>
      </c>
      <c r="B153" s="1" t="n">
        <v>170.23</v>
      </c>
      <c r="C153" s="9" t="n">
        <v>4172.55</v>
      </c>
      <c r="D153" s="9" t="n">
        <v>2682.95</v>
      </c>
      <c r="E153" s="8" t="n">
        <v>2489.1</v>
      </c>
      <c r="F153" s="9" t="n">
        <v>1451.8</v>
      </c>
      <c r="G153" s="11" t="n">
        <v>1365</v>
      </c>
      <c r="H153" s="12" t="n">
        <v>0.604711774</v>
      </c>
      <c r="I153" s="12"/>
      <c r="J153" s="12"/>
      <c r="K153" s="8" t="n">
        <f aca="false">((B153-B152)/B152)*100</f>
        <v>-1.15549878062943</v>
      </c>
      <c r="L153" s="8" t="n">
        <f aca="false">((C153-C152)/C152)*100</f>
        <v>-0.66421454844123</v>
      </c>
      <c r="M153" s="8" t="n">
        <f aca="false">((D153-D152)/D152)*100</f>
        <v>0.0783333644179984</v>
      </c>
      <c r="N153" s="8" t="n">
        <f aca="false">((E153-E152)/E152)*100</f>
        <v>-1.33581734580626</v>
      </c>
      <c r="O153" s="8" t="n">
        <f aca="false">((F153-F152)/F152)*100</f>
        <v>0.697069533552971</v>
      </c>
      <c r="P153" s="8" t="n">
        <f aca="false">((G153-G152)/G152)*100</f>
        <v>-0.835452233926626</v>
      </c>
      <c r="Q153" s="8" t="n">
        <f aca="false">((H153-H152)/H152)*100</f>
        <v>19.8430168301644</v>
      </c>
      <c r="S153" s="9"/>
      <c r="V153" s="9" t="n">
        <f aca="false">K147-$V$4</f>
        <v>-0.744126767848624</v>
      </c>
      <c r="W153" s="9" t="n">
        <f aca="false">L147-$W$4</f>
        <v>0.420534111916693</v>
      </c>
      <c r="X153" s="9" t="n">
        <f aca="false">M147-$X$4</f>
        <v>-0.738147690073825</v>
      </c>
      <c r="Y153" s="9" t="n">
        <f aca="false">N147-$Y$4</f>
        <v>0.0336002152547151</v>
      </c>
      <c r="Z153" s="9" t="n">
        <f aca="false">O147-$Z$4</f>
        <v>1.24981174728279</v>
      </c>
      <c r="AA153" s="9" t="n">
        <f aca="false">P147-$AA$4</f>
        <v>3.9425103598513</v>
      </c>
      <c r="AB153" s="9" t="n">
        <f aca="false">Q147-$AB$4</f>
        <v>3.64057850683744</v>
      </c>
    </row>
    <row r="154" customFormat="false" ht="15.75" hidden="false" customHeight="false" outlineLevel="0" collapsed="false">
      <c r="A154" s="7" t="n">
        <v>45513</v>
      </c>
      <c r="B154" s="1" t="n">
        <v>169.09</v>
      </c>
      <c r="C154" s="9" t="n">
        <v>4228.75</v>
      </c>
      <c r="D154" s="9" t="n">
        <v>2749.15</v>
      </c>
      <c r="E154" s="8" t="n">
        <v>2504.7</v>
      </c>
      <c r="F154" s="9" t="n">
        <v>1464.1</v>
      </c>
      <c r="G154" s="11" t="n">
        <v>1380.65</v>
      </c>
      <c r="H154" s="12" t="n">
        <v>0.618025316</v>
      </c>
      <c r="I154" s="12"/>
      <c r="J154" s="12"/>
      <c r="K154" s="8" t="n">
        <f aca="false">((B154-B153)/B153)*100</f>
        <v>-0.669682194677781</v>
      </c>
      <c r="L154" s="8" t="n">
        <f aca="false">((C154-C153)/C153)*100</f>
        <v>1.34689817977016</v>
      </c>
      <c r="M154" s="8" t="n">
        <f aca="false">((D154-D153)/D153)*100</f>
        <v>2.46743323580388</v>
      </c>
      <c r="N154" s="8" t="n">
        <f aca="false">((E154-E153)/E153)*100</f>
        <v>0.626732553935154</v>
      </c>
      <c r="O154" s="8" t="n">
        <f aca="false">((F154-F153)/F153)*100</f>
        <v>0.847224135555859</v>
      </c>
      <c r="P154" s="8" t="n">
        <f aca="false">((G154-G153)/G153)*100</f>
        <v>1.14652014652015</v>
      </c>
      <c r="Q154" s="8" t="n">
        <f aca="false">((H154-H153)/H153)*100</f>
        <v>2.20163432769543</v>
      </c>
      <c r="S154" s="9"/>
      <c r="V154" s="9" t="n">
        <f aca="false">K148-$V$4</f>
        <v>-1.11235237048493</v>
      </c>
      <c r="W154" s="9" t="n">
        <f aca="false">L148-$W$4</f>
        <v>0.230318264093052</v>
      </c>
      <c r="X154" s="9" t="n">
        <f aca="false">M148-$X$4</f>
        <v>-2.97936030763628</v>
      </c>
      <c r="Y154" s="9" t="n">
        <f aca="false">N148-$Y$4</f>
        <v>1.21215019189608</v>
      </c>
      <c r="Z154" s="9" t="n">
        <f aca="false">O148-$Z$4</f>
        <v>0.743246850475279</v>
      </c>
      <c r="AA154" s="9" t="n">
        <f aca="false">P148-$AA$4</f>
        <v>0.949688876788987</v>
      </c>
      <c r="AB154" s="9" t="n">
        <f aca="false">Q148-$AB$4</f>
        <v>-1.18867800948212</v>
      </c>
    </row>
    <row r="155" customFormat="false" ht="15.75" hidden="false" customHeight="false" outlineLevel="0" collapsed="false">
      <c r="A155" s="7" t="n">
        <v>45516</v>
      </c>
      <c r="B155" s="1" t="n">
        <v>169.16</v>
      </c>
      <c r="C155" s="9" t="n">
        <v>4195.65</v>
      </c>
      <c r="D155" s="9" t="n">
        <v>2717.65</v>
      </c>
      <c r="E155" s="8" t="n">
        <v>2473.1</v>
      </c>
      <c r="F155" s="9" t="n">
        <v>1458.6</v>
      </c>
      <c r="G155" s="11" t="n">
        <v>1367.65</v>
      </c>
      <c r="H155" s="12" t="n">
        <v>0.552884306</v>
      </c>
      <c r="I155" s="12"/>
      <c r="J155" s="12"/>
      <c r="K155" s="8" t="n">
        <f aca="false">((B155-B154)/B154)*100</f>
        <v>0.0413980720326413</v>
      </c>
      <c r="L155" s="8" t="n">
        <f aca="false">((C155-C154)/C154)*100</f>
        <v>-0.782737215489219</v>
      </c>
      <c r="M155" s="8" t="n">
        <f aca="false">((D155-D154)/D154)*100</f>
        <v>-1.14580870450867</v>
      </c>
      <c r="N155" s="8" t="n">
        <f aca="false">((E155-E154)/E154)*100</f>
        <v>-1.26162813909849</v>
      </c>
      <c r="O155" s="8" t="n">
        <f aca="false">((F155-F154)/F154)*100</f>
        <v>-0.375657400450789</v>
      </c>
      <c r="P155" s="8" t="n">
        <f aca="false">((G155-G154)/G154)*100</f>
        <v>-0.941585485097599</v>
      </c>
      <c r="Q155" s="8" t="n">
        <f aca="false">((H155-H154)/H154)*100</f>
        <v>-10.5401847324973</v>
      </c>
      <c r="S155" s="9"/>
      <c r="V155" s="9" t="n">
        <f aca="false">K149-$V$4</f>
        <v>-1.40207399964953</v>
      </c>
      <c r="W155" s="9" t="n">
        <f aca="false">L149-$W$4</f>
        <v>-2.63137427562334</v>
      </c>
      <c r="X155" s="9" t="n">
        <f aca="false">M149-$X$4</f>
        <v>-3.03303326188923</v>
      </c>
      <c r="Y155" s="9" t="n">
        <f aca="false">N149-$Y$4</f>
        <v>0.533356177879948</v>
      </c>
      <c r="Z155" s="9" t="n">
        <f aca="false">O149-$Z$4</f>
        <v>-0.969172278112729</v>
      </c>
      <c r="AA155" s="9" t="n">
        <f aca="false">P149-$AA$4</f>
        <v>-0.819560168862514</v>
      </c>
      <c r="AB155" s="9" t="n">
        <f aca="false">Q149-$AB$4</f>
        <v>-5.10795359405191</v>
      </c>
    </row>
    <row r="156" customFormat="false" ht="15.75" hidden="false" customHeight="false" outlineLevel="0" collapsed="false">
      <c r="A156" s="7" t="n">
        <v>45517</v>
      </c>
      <c r="B156" s="1" t="n">
        <v>164.12</v>
      </c>
      <c r="C156" s="9" t="n">
        <v>4196.95</v>
      </c>
      <c r="D156" s="9" t="n">
        <v>2718.05</v>
      </c>
      <c r="E156" s="8" t="n">
        <v>2484.7</v>
      </c>
      <c r="F156" s="9" t="n">
        <v>1459.7</v>
      </c>
      <c r="G156" s="11" t="n">
        <v>1362.65</v>
      </c>
      <c r="H156" s="12" t="n">
        <v>0.568612154</v>
      </c>
      <c r="I156" s="12"/>
      <c r="J156" s="12"/>
      <c r="K156" s="8" t="n">
        <f aca="false">((B156-B155)/B155)*100</f>
        <v>-2.97942776069992</v>
      </c>
      <c r="L156" s="8" t="n">
        <f aca="false">((C156-C155)/C155)*100</f>
        <v>0.0309844720126841</v>
      </c>
      <c r="M156" s="8" t="n">
        <f aca="false">((D156-D155)/D155)*100</f>
        <v>0.0147185987893986</v>
      </c>
      <c r="N156" s="8" t="n">
        <f aca="false">((E156-E155)/E155)*100</f>
        <v>0.469046945129591</v>
      </c>
      <c r="O156" s="8" t="n">
        <f aca="false">((F156-F155)/F155)*100</f>
        <v>0.0754147812971436</v>
      </c>
      <c r="P156" s="8" t="n">
        <f aca="false">((G156-G155)/G155)*100</f>
        <v>-0.365590611633093</v>
      </c>
      <c r="Q156" s="8" t="n">
        <f aca="false">((H156-H155)/H155)*100</f>
        <v>2.8446906214046</v>
      </c>
      <c r="S156" s="9"/>
      <c r="V156" s="9" t="n">
        <f aca="false">K150-$V$4</f>
        <v>-3.82360101381879</v>
      </c>
      <c r="W156" s="9" t="n">
        <f aca="false">L150-$W$4</f>
        <v>-3.02614383350473</v>
      </c>
      <c r="X156" s="9" t="n">
        <f aca="false">M150-$X$4</f>
        <v>-2.82000994895956</v>
      </c>
      <c r="Y156" s="9" t="n">
        <f aca="false">N150-$Y$4</f>
        <v>0.719737427157528</v>
      </c>
      <c r="Z156" s="9" t="n">
        <f aca="false">O150-$Z$4</f>
        <v>-2.0731304118962</v>
      </c>
      <c r="AA156" s="9" t="n">
        <f aca="false">P150-$AA$4</f>
        <v>-0.776033229780164</v>
      </c>
      <c r="AB156" s="9" t="n">
        <f aca="false">Q150-$AB$4</f>
        <v>-13.0003408157522</v>
      </c>
    </row>
    <row r="157" customFormat="false" ht="15.75" hidden="false" customHeight="false" outlineLevel="0" collapsed="false">
      <c r="A157" s="7" t="n">
        <v>45518</v>
      </c>
      <c r="B157" s="1" t="n">
        <v>163.74</v>
      </c>
      <c r="C157" s="9" t="n">
        <v>4295.25</v>
      </c>
      <c r="D157" s="9" t="n">
        <v>2745.25</v>
      </c>
      <c r="E157" s="8" t="n">
        <v>2474.6</v>
      </c>
      <c r="F157" s="9" t="n">
        <v>1471.7</v>
      </c>
      <c r="G157" s="11" t="n">
        <v>1367.65</v>
      </c>
      <c r="H157" s="12" t="n">
        <v>0.576439794</v>
      </c>
      <c r="I157" s="12"/>
      <c r="J157" s="12"/>
      <c r="K157" s="8" t="n">
        <f aca="false">((B157-B156)/B156)*100</f>
        <v>-0.231537899098218</v>
      </c>
      <c r="L157" s="8" t="n">
        <f aca="false">((C157-C156)/C156)*100</f>
        <v>2.34217705714865</v>
      </c>
      <c r="M157" s="8" t="n">
        <f aca="false">((D157-D156)/D156)*100</f>
        <v>1.00071742609591</v>
      </c>
      <c r="N157" s="8" t="n">
        <f aca="false">((E157-E156)/E156)*100</f>
        <v>-0.406487704753085</v>
      </c>
      <c r="O157" s="8" t="n">
        <f aca="false">((F157-F156)/F156)*100</f>
        <v>0.822086730150031</v>
      </c>
      <c r="P157" s="8" t="n">
        <f aca="false">((G157-G156)/G156)*100</f>
        <v>0.366932080871831</v>
      </c>
      <c r="Q157" s="8" t="n">
        <f aca="false">((H157-H156)/H156)*100</f>
        <v>1.37662199883262</v>
      </c>
      <c r="S157" s="9"/>
      <c r="V157" s="9" t="n">
        <f aca="false">K151-$V$4</f>
        <v>-2.14308103618933</v>
      </c>
      <c r="W157" s="9" t="n">
        <f aca="false">L151-$W$4</f>
        <v>0.351064349262697</v>
      </c>
      <c r="X157" s="9" t="n">
        <f aca="false">M151-$X$4</f>
        <v>-1.96586426097707</v>
      </c>
      <c r="Y157" s="9" t="n">
        <f aca="false">N151-$Y$4</f>
        <v>-0.00908698250117708</v>
      </c>
      <c r="Z157" s="9" t="n">
        <f aca="false">O151-$Z$4</f>
        <v>-1.70324513602675</v>
      </c>
      <c r="AA157" s="9" t="n">
        <f aca="false">P151-$AA$4</f>
        <v>-1.5588505015977</v>
      </c>
      <c r="AB157" s="9" t="n">
        <f aca="false">Q151-$AB$4</f>
        <v>-6.93983595013729</v>
      </c>
    </row>
    <row r="158" customFormat="false" ht="15.75" hidden="false" customHeight="false" outlineLevel="0" collapsed="false">
      <c r="A158" s="7" t="n">
        <v>45520</v>
      </c>
      <c r="B158" s="1" t="n">
        <v>167.17</v>
      </c>
      <c r="C158" s="9" t="n">
        <v>4416.05</v>
      </c>
      <c r="D158" s="9" t="n">
        <v>2840.45</v>
      </c>
      <c r="E158" s="8" t="n">
        <v>2525.45</v>
      </c>
      <c r="F158" s="9" t="n">
        <v>1483.55</v>
      </c>
      <c r="G158" s="11" t="n">
        <v>1367.35</v>
      </c>
      <c r="H158" s="12" t="n">
        <v>0.561136707</v>
      </c>
      <c r="I158" s="12"/>
      <c r="J158" s="12"/>
      <c r="K158" s="8" t="n">
        <f aca="false">((B158-B157)/B157)*100</f>
        <v>2.09478441431537</v>
      </c>
      <c r="L158" s="8" t="n">
        <f aca="false">((C158-C157)/C157)*100</f>
        <v>2.81240905651592</v>
      </c>
      <c r="M158" s="8" t="n">
        <f aca="false">((D158-D157)/D157)*100</f>
        <v>3.46780803205536</v>
      </c>
      <c r="N158" s="8" t="n">
        <f aca="false">((E158-E157)/E157)*100</f>
        <v>2.05487755596864</v>
      </c>
      <c r="O158" s="8" t="n">
        <f aca="false">((F158-F157)/F157)*100</f>
        <v>0.805191275395795</v>
      </c>
      <c r="P158" s="8" t="n">
        <f aca="false">((G158-G157)/G157)*100</f>
        <v>-0.0219354366979989</v>
      </c>
      <c r="Q158" s="8" t="n">
        <f aca="false">((H158-H157)/H157)*100</f>
        <v>-2.65475894608346</v>
      </c>
      <c r="S158" s="9"/>
      <c r="V158" s="9" t="n">
        <f aca="false">K152-$V$4</f>
        <v>3.0750916220441</v>
      </c>
      <c r="W158" s="9" t="n">
        <f aca="false">L152-$W$4</f>
        <v>0.663617753331616</v>
      </c>
      <c r="X158" s="9" t="n">
        <f aca="false">M152-$X$4</f>
        <v>1.57047855983052</v>
      </c>
      <c r="Y158" s="9" t="n">
        <f aca="false">N152-$Y$4</f>
        <v>0.656558064412607</v>
      </c>
      <c r="Z158" s="9" t="n">
        <f aca="false">O152-$Z$4</f>
        <v>-0.316714427865524</v>
      </c>
      <c r="AA158" s="9" t="n">
        <f aca="false">P152-$AA$4</f>
        <v>1.98250345032018</v>
      </c>
      <c r="AB158" s="9" t="n">
        <f aca="false">Q152-$AB$4</f>
        <v>2.24352877462294</v>
      </c>
    </row>
    <row r="159" customFormat="false" ht="15.75" hidden="false" customHeight="false" outlineLevel="0" collapsed="false">
      <c r="A159" s="7" t="n">
        <v>45523</v>
      </c>
      <c r="B159" s="1" t="n">
        <v>170.08</v>
      </c>
      <c r="C159" s="9" t="n">
        <v>4490</v>
      </c>
      <c r="D159" s="9" t="n">
        <v>2765.15</v>
      </c>
      <c r="E159" s="8" t="n">
        <v>2503.15</v>
      </c>
      <c r="F159" s="9" t="n">
        <v>1469.65</v>
      </c>
      <c r="G159" s="11" t="n">
        <v>1400</v>
      </c>
      <c r="H159" s="12" t="n">
        <v>0.564140262</v>
      </c>
      <c r="I159" s="12"/>
      <c r="J159" s="12"/>
      <c r="K159" s="8" t="n">
        <f aca="false">((B159-B158)/B158)*100</f>
        <v>1.74074295627207</v>
      </c>
      <c r="L159" s="8" t="n">
        <f aca="false">((C159-C158)/C158)*100</f>
        <v>1.67457343100734</v>
      </c>
      <c r="M159" s="8" t="n">
        <f aca="false">((D159-D158)/D158)*100</f>
        <v>-2.65098839972539</v>
      </c>
      <c r="N159" s="8" t="n">
        <f aca="false">((E159-E158)/E158)*100</f>
        <v>-0.883010948543813</v>
      </c>
      <c r="O159" s="8" t="n">
        <f aca="false">((F159-F158)/F158)*100</f>
        <v>-0.936941795018696</v>
      </c>
      <c r="P159" s="8" t="n">
        <f aca="false">((G159-G158)/G158)*100</f>
        <v>2.38783047500641</v>
      </c>
      <c r="Q159" s="8" t="n">
        <f aca="false">((H159-H158)/H158)*100</f>
        <v>0.535262612930444</v>
      </c>
      <c r="S159" s="9"/>
      <c r="V159" s="9" t="n">
        <f aca="false">K153-$V$4</f>
        <v>-1.1999808368082</v>
      </c>
      <c r="W159" s="9" t="n">
        <f aca="false">L153-$W$4</f>
        <v>-0.701833849194769</v>
      </c>
      <c r="X159" s="9" t="n">
        <f aca="false">M153-$X$4</f>
        <v>-0.170440245371109</v>
      </c>
      <c r="Y159" s="9" t="n">
        <f aca="false">N153-$Y$4</f>
        <v>-1.24932107130795</v>
      </c>
      <c r="Z159" s="9" t="n">
        <f aca="false">O153-$Z$4</f>
        <v>0.505047703796273</v>
      </c>
      <c r="AA159" s="9" t="n">
        <f aca="false">P153-$AA$4</f>
        <v>-0.815911746569409</v>
      </c>
      <c r="AB159" s="9" t="n">
        <f aca="false">Q153-$AB$4</f>
        <v>19.1637591137612</v>
      </c>
    </row>
    <row r="160" customFormat="false" ht="15.75" hidden="false" customHeight="false" outlineLevel="0" collapsed="false">
      <c r="A160" s="7" t="n">
        <v>45524</v>
      </c>
      <c r="B160" s="1" t="n">
        <v>172.23</v>
      </c>
      <c r="C160" s="9" t="n">
        <v>4523.3</v>
      </c>
      <c r="D160" s="9" t="n">
        <v>2771.3</v>
      </c>
      <c r="E160" s="8" t="n">
        <v>2518.5</v>
      </c>
      <c r="F160" s="9" t="n">
        <v>1449.15</v>
      </c>
      <c r="G160" s="11" t="n">
        <v>1411.5</v>
      </c>
      <c r="H160" s="12" t="n">
        <v>0.599114192</v>
      </c>
      <c r="I160" s="12"/>
      <c r="J160" s="12"/>
      <c r="K160" s="8" t="n">
        <f aca="false">((B160-B159)/B159)*100</f>
        <v>1.26411100658512</v>
      </c>
      <c r="L160" s="8" t="n">
        <f aca="false">((C160-C159)/C159)*100</f>
        <v>0.741648106904236</v>
      </c>
      <c r="M160" s="8" t="n">
        <f aca="false">((D160-D159)/D159)*100</f>
        <v>0.222411080773198</v>
      </c>
      <c r="N160" s="8" t="n">
        <f aca="false">((E160-E159)/E159)*100</f>
        <v>0.613227333559711</v>
      </c>
      <c r="O160" s="8" t="n">
        <f aca="false">((F160-F159)/F159)*100</f>
        <v>-1.39488993978158</v>
      </c>
      <c r="P160" s="8" t="n">
        <f aca="false">((G160-G159)/G159)*100</f>
        <v>0.821428571428571</v>
      </c>
      <c r="Q160" s="8" t="n">
        <f aca="false">((H160-H159)/H159)*100</f>
        <v>6.19950965315077</v>
      </c>
      <c r="S160" s="9"/>
      <c r="V160" s="9" t="n">
        <f aca="false">K154-$V$4</f>
        <v>-0.714164250856549</v>
      </c>
      <c r="W160" s="9" t="n">
        <f aca="false">L154-$W$4</f>
        <v>1.30927887901662</v>
      </c>
      <c r="X160" s="9" t="n">
        <f aca="false">M154-$X$4</f>
        <v>2.21865962601478</v>
      </c>
      <c r="Y160" s="9" t="n">
        <f aca="false">N154-$Y$4</f>
        <v>0.713228828433462</v>
      </c>
      <c r="Z160" s="9" t="n">
        <f aca="false">O154-$Z$4</f>
        <v>0.655202305799161</v>
      </c>
      <c r="AA160" s="9" t="n">
        <f aca="false">P154-$AA$4</f>
        <v>1.16606063387737</v>
      </c>
      <c r="AB160" s="9" t="n">
        <f aca="false">Q154-$AB$4</f>
        <v>1.52237661129228</v>
      </c>
    </row>
    <row r="161" customFormat="false" ht="15.75" hidden="false" customHeight="false" outlineLevel="0" collapsed="false">
      <c r="A161" s="7" t="n">
        <v>45525</v>
      </c>
      <c r="B161" s="1" t="n">
        <v>173.89</v>
      </c>
      <c r="C161" s="9" t="n">
        <v>4551.5</v>
      </c>
      <c r="D161" s="9" t="n">
        <v>2769.4</v>
      </c>
      <c r="E161" s="8" t="n">
        <v>2551.75</v>
      </c>
      <c r="F161" s="9" t="n">
        <v>1463.45</v>
      </c>
      <c r="G161" s="11" t="n">
        <v>1428.5</v>
      </c>
      <c r="H161" s="12" t="n">
        <v>0.594394755</v>
      </c>
      <c r="I161" s="12"/>
      <c r="J161" s="12"/>
      <c r="K161" s="8" t="n">
        <f aca="false">((B161-B160)/B160)*100</f>
        <v>0.963827440051093</v>
      </c>
      <c r="L161" s="8" t="n">
        <f aca="false">((C161-C160)/C160)*100</f>
        <v>0.62343863993102</v>
      </c>
      <c r="M161" s="8" t="n">
        <f aca="false">((D161-D160)/D160)*100</f>
        <v>-0.0685598816439971</v>
      </c>
      <c r="N161" s="8" t="n">
        <f aca="false">((E161-E160)/E160)*100</f>
        <v>1.320230295811</v>
      </c>
      <c r="O161" s="8" t="n">
        <f aca="false">((F161-F160)/F160)*100</f>
        <v>0.986785356933372</v>
      </c>
      <c r="P161" s="8" t="n">
        <f aca="false">((G161-G160)/G160)*100</f>
        <v>1.20439249025859</v>
      </c>
      <c r="Q161" s="8" t="n">
        <f aca="false">((H161-H160)/H160)*100</f>
        <v>-0.787735804462464</v>
      </c>
      <c r="S161" s="9"/>
      <c r="V161" s="9" t="n">
        <f aca="false">K155-$V$4</f>
        <v>-0.00308398414612713</v>
      </c>
      <c r="W161" s="9" t="n">
        <f aca="false">L155-$W$4</f>
        <v>-0.820356516242759</v>
      </c>
      <c r="X161" s="9" t="n">
        <f aca="false">M155-$X$4</f>
        <v>-1.39458231429777</v>
      </c>
      <c r="Y161" s="9" t="n">
        <f aca="false">N155-$Y$4</f>
        <v>-1.17513186460018</v>
      </c>
      <c r="Z161" s="9" t="n">
        <f aca="false">O155-$Z$4</f>
        <v>-0.567679230207487</v>
      </c>
      <c r="AA161" s="9" t="n">
        <f aca="false">P155-$AA$4</f>
        <v>-0.922044997740382</v>
      </c>
      <c r="AB161" s="9" t="n">
        <f aca="false">Q155-$AB$4</f>
        <v>-11.2194424489004</v>
      </c>
    </row>
    <row r="162" customFormat="false" ht="15.75" hidden="false" customHeight="false" outlineLevel="0" collapsed="false">
      <c r="A162" s="7" t="n">
        <v>45526</v>
      </c>
      <c r="B162" s="1" t="n">
        <v>173.79</v>
      </c>
      <c r="C162" s="9" t="n">
        <v>4502</v>
      </c>
      <c r="D162" s="9" t="n">
        <v>2732.95</v>
      </c>
      <c r="E162" s="8" t="n">
        <v>2551</v>
      </c>
      <c r="F162" s="9" t="n">
        <v>1486.35</v>
      </c>
      <c r="G162" s="11" t="n">
        <v>1411</v>
      </c>
      <c r="H162" s="12" t="n">
        <v>0.600397067</v>
      </c>
      <c r="I162" s="12"/>
      <c r="J162" s="12"/>
      <c r="K162" s="8" t="n">
        <f aca="false">((B162-B161)/B161)*100</f>
        <v>-0.0575076197596149</v>
      </c>
      <c r="L162" s="8" t="n">
        <f aca="false">((C162-C161)/C161)*100</f>
        <v>-1.08755355377348</v>
      </c>
      <c r="M162" s="8" t="n">
        <f aca="false">((D162-D161)/D161)*100</f>
        <v>-1.31616956741533</v>
      </c>
      <c r="N162" s="8" t="n">
        <f aca="false">((E162-E161)/E161)*100</f>
        <v>-0.0293915940041148</v>
      </c>
      <c r="O162" s="8" t="n">
        <f aca="false">((F162-F161)/F161)*100</f>
        <v>1.56479551744165</v>
      </c>
      <c r="P162" s="8" t="n">
        <f aca="false">((G162-G161)/G161)*100</f>
        <v>-1.22506125306265</v>
      </c>
      <c r="Q162" s="8" t="n">
        <f aca="false">((H162-H161)/H161)*100</f>
        <v>1.00981913947069</v>
      </c>
      <c r="S162" s="9"/>
      <c r="V162" s="9" t="n">
        <f aca="false">K156-$V$4</f>
        <v>-3.02390981687869</v>
      </c>
      <c r="W162" s="9" t="n">
        <f aca="false">L156-$W$4</f>
        <v>-0.00663482874085532</v>
      </c>
      <c r="X162" s="9" t="n">
        <f aca="false">M156-$X$4</f>
        <v>-0.234055010999709</v>
      </c>
      <c r="Y162" s="9" t="n">
        <f aca="false">N156-$Y$4</f>
        <v>0.5555432196279</v>
      </c>
      <c r="Z162" s="9" t="n">
        <f aca="false">O156-$Z$4</f>
        <v>-0.116607048459554</v>
      </c>
      <c r="AA162" s="9" t="n">
        <f aca="false">P156-$AA$4</f>
        <v>-0.346050124275877</v>
      </c>
      <c r="AB162" s="9" t="n">
        <f aca="false">Q156-$AB$4</f>
        <v>2.16543290500146</v>
      </c>
    </row>
    <row r="163" customFormat="false" ht="15.75" hidden="false" customHeight="false" outlineLevel="0" collapsed="false">
      <c r="A163" s="7" t="n">
        <v>45527</v>
      </c>
      <c r="B163" s="1" t="n">
        <v>173.13</v>
      </c>
      <c r="C163" s="9" t="n">
        <v>4463.9</v>
      </c>
      <c r="D163" s="9" t="n">
        <v>2759</v>
      </c>
      <c r="E163" s="8" t="n">
        <v>2529.2</v>
      </c>
      <c r="F163" s="9" t="n">
        <v>1506.75</v>
      </c>
      <c r="G163" s="11" t="n">
        <v>1410</v>
      </c>
      <c r="H163" s="12" t="n">
        <v>0.597687119</v>
      </c>
      <c r="I163" s="12"/>
      <c r="J163" s="12"/>
      <c r="K163" s="8" t="n">
        <f aca="false">((B163-B162)/B162)*100</f>
        <v>-0.379768686345588</v>
      </c>
      <c r="L163" s="8" t="n">
        <f aca="false">((C163-C162)/C162)*100</f>
        <v>-0.84629053753888</v>
      </c>
      <c r="M163" s="8" t="n">
        <f aca="false">((D163-D162)/D162)*100</f>
        <v>0.95318245851553</v>
      </c>
      <c r="N163" s="8" t="n">
        <f aca="false">((E163-E162)/E162)*100</f>
        <v>-0.854566836534699</v>
      </c>
      <c r="O163" s="8" t="n">
        <f aca="false">((F163-F162)/F162)*100</f>
        <v>1.37248965586841</v>
      </c>
      <c r="P163" s="8" t="n">
        <f aca="false">((G163-G162)/G162)*100</f>
        <v>-0.070871722182849</v>
      </c>
      <c r="Q163" s="8" t="n">
        <f aca="false">((H163-H162)/H162)*100</f>
        <v>-0.451359300194567</v>
      </c>
      <c r="S163" s="9"/>
      <c r="V163" s="9" t="n">
        <f aca="false">K157-$V$4</f>
        <v>-0.276019955276987</v>
      </c>
      <c r="W163" s="9" t="n">
        <f aca="false">L157-$W$4</f>
        <v>2.30455775639511</v>
      </c>
      <c r="X163" s="9" t="n">
        <f aca="false">M157-$X$4</f>
        <v>0.7519438163068</v>
      </c>
      <c r="Y163" s="9" t="n">
        <f aca="false">N157-$Y$4</f>
        <v>-0.319991430254777</v>
      </c>
      <c r="Z163" s="9" t="n">
        <f aca="false">O157-$Z$4</f>
        <v>0.630064900393333</v>
      </c>
      <c r="AA163" s="9" t="n">
        <f aca="false">P157-$AA$4</f>
        <v>0.386472568229047</v>
      </c>
      <c r="AB163" s="9" t="n">
        <f aca="false">Q157-$AB$4</f>
        <v>0.697364282429473</v>
      </c>
    </row>
    <row r="164" customFormat="false" ht="15.75" hidden="false" customHeight="false" outlineLevel="0" collapsed="false">
      <c r="A164" s="7" t="n">
        <v>45530</v>
      </c>
      <c r="B164" s="1" t="n">
        <v>173.46</v>
      </c>
      <c r="C164" s="9" t="n">
        <v>4502.45</v>
      </c>
      <c r="D164" s="9" t="n">
        <v>2793.1</v>
      </c>
      <c r="E164" s="8" t="n">
        <v>2519.55</v>
      </c>
      <c r="F164" s="9" t="n">
        <v>1513.55</v>
      </c>
      <c r="G164" s="11" t="n">
        <v>1421</v>
      </c>
      <c r="H164" s="12" t="n">
        <v>0.599512758</v>
      </c>
      <c r="I164" s="12"/>
      <c r="J164" s="12"/>
      <c r="K164" s="8" t="n">
        <f aca="false">((B164-B163)/B163)*100</f>
        <v>0.190608213481206</v>
      </c>
      <c r="L164" s="8" t="n">
        <f aca="false">((C164-C163)/C163)*100</f>
        <v>0.863594614574703</v>
      </c>
      <c r="M164" s="8" t="n">
        <f aca="false">((D164-D163)/D163)*100</f>
        <v>1.23595505617977</v>
      </c>
      <c r="N164" s="8" t="n">
        <f aca="false">((E164-E163)/E163)*100</f>
        <v>-0.381543571089658</v>
      </c>
      <c r="O164" s="8" t="n">
        <f aca="false">((F164-F163)/F163)*100</f>
        <v>0.451302472208393</v>
      </c>
      <c r="P164" s="8" t="n">
        <f aca="false">((G164-G163)/G163)*100</f>
        <v>0.780141843971631</v>
      </c>
      <c r="Q164" s="8" t="n">
        <f aca="false">((H164-H163)/H163)*100</f>
        <v>0.305450618218859</v>
      </c>
      <c r="S164" s="9"/>
      <c r="V164" s="9" t="n">
        <f aca="false">K158-$V$4</f>
        <v>2.0503023581366</v>
      </c>
      <c r="W164" s="9" t="n">
        <f aca="false">L158-$W$4</f>
        <v>2.77478975576238</v>
      </c>
      <c r="X164" s="9" t="n">
        <f aca="false">M158-$X$4</f>
        <v>3.21903442226625</v>
      </c>
      <c r="Y164" s="9" t="n">
        <f aca="false">N158-$Y$4</f>
        <v>2.14137383046695</v>
      </c>
      <c r="Z164" s="9" t="n">
        <f aca="false">O158-$Z$4</f>
        <v>0.613169445639097</v>
      </c>
      <c r="AA164" s="9" t="n">
        <f aca="false">P158-$AA$4</f>
        <v>-0.00239494934078217</v>
      </c>
      <c r="AB164" s="9" t="n">
        <f aca="false">Q158-$AB$4</f>
        <v>-3.33401666248661</v>
      </c>
    </row>
    <row r="165" customFormat="false" ht="15.75" hidden="false" customHeight="false" outlineLevel="0" collapsed="false">
      <c r="A165" s="7" t="n">
        <v>45531</v>
      </c>
      <c r="B165" s="1" t="n">
        <v>173.25</v>
      </c>
      <c r="C165" s="9" t="n">
        <v>4497.15</v>
      </c>
      <c r="D165" s="9" t="n">
        <v>2780.8</v>
      </c>
      <c r="E165" s="8" t="n">
        <v>2521.45</v>
      </c>
      <c r="F165" s="9" t="n">
        <v>1522.75</v>
      </c>
      <c r="G165" s="11" t="n">
        <v>1422.5</v>
      </c>
      <c r="H165" s="12" t="n">
        <v>0.587279017</v>
      </c>
      <c r="I165" s="12"/>
      <c r="J165" s="12"/>
      <c r="K165" s="8" t="n">
        <f aca="false">((B165-B164)/B164)*100</f>
        <v>-0.121065375302668</v>
      </c>
      <c r="L165" s="8" t="n">
        <f aca="false">((C165-C164)/C164)*100</f>
        <v>-0.117713689213654</v>
      </c>
      <c r="M165" s="8" t="n">
        <f aca="false">((D165-D164)/D164)*100</f>
        <v>-0.440370914038156</v>
      </c>
      <c r="N165" s="8" t="n">
        <f aca="false">((E165-E164)/E164)*100</f>
        <v>0.0754102915202967</v>
      </c>
      <c r="O165" s="8" t="n">
        <f aca="false">((F165-F164)/F164)*100</f>
        <v>0.607842489511417</v>
      </c>
      <c r="P165" s="8" t="n">
        <f aca="false">((G165-G164)/G164)*100</f>
        <v>0.105559465165377</v>
      </c>
      <c r="Q165" s="8" t="n">
        <f aca="false">((H165-H164)/H164)*100</f>
        <v>-2.04061395470755</v>
      </c>
      <c r="S165" s="9"/>
      <c r="V165" s="9" t="n">
        <f aca="false">K159-$V$4</f>
        <v>1.6962609000933</v>
      </c>
      <c r="W165" s="9" t="n">
        <f aca="false">L159-$W$4</f>
        <v>1.6369541302538</v>
      </c>
      <c r="X165" s="9" t="n">
        <f aca="false">M159-$X$4</f>
        <v>-2.89976200951449</v>
      </c>
      <c r="Y165" s="9" t="n">
        <f aca="false">N159-$Y$4</f>
        <v>-0.796514674045504</v>
      </c>
      <c r="Z165" s="9" t="n">
        <f aca="false">O159-$Z$4</f>
        <v>-1.12896362477539</v>
      </c>
      <c r="AA165" s="9" t="n">
        <f aca="false">P159-$AA$4</f>
        <v>2.40737096236362</v>
      </c>
      <c r="AB165" s="9" t="n">
        <f aca="false">Q159-$AB$4</f>
        <v>-0.143995103472705</v>
      </c>
    </row>
    <row r="166" customFormat="false" ht="15.75" hidden="false" customHeight="false" outlineLevel="0" collapsed="false">
      <c r="A166" s="7" t="n">
        <v>45532</v>
      </c>
      <c r="B166" s="1" t="n">
        <v>173.75</v>
      </c>
      <c r="C166" s="9" t="n">
        <v>4506.05</v>
      </c>
      <c r="D166" s="9" t="n">
        <v>2798</v>
      </c>
      <c r="E166" s="8" t="n">
        <v>2492.5</v>
      </c>
      <c r="F166" s="9" t="n">
        <v>1556.35</v>
      </c>
      <c r="G166" s="11" t="n">
        <v>1426.65</v>
      </c>
      <c r="H166" s="12" t="n">
        <v>0.567025225</v>
      </c>
      <c r="I166" s="12"/>
      <c r="J166" s="12"/>
      <c r="K166" s="8" t="n">
        <f aca="false">((B166-B165)/B165)*100</f>
        <v>0.288600288600289</v>
      </c>
      <c r="L166" s="8" t="n">
        <f aca="false">((C166-C165)/C165)*100</f>
        <v>0.197903116418188</v>
      </c>
      <c r="M166" s="8" t="n">
        <f aca="false">((D166-D165)/D165)*100</f>
        <v>0.618527042577669</v>
      </c>
      <c r="N166" s="8" t="n">
        <f aca="false">((E166-E165)/E165)*100</f>
        <v>-1.14814888258739</v>
      </c>
      <c r="O166" s="8" t="n">
        <f aca="false">((F166-F165)/F165)*100</f>
        <v>2.20653423083237</v>
      </c>
      <c r="P166" s="8" t="n">
        <f aca="false">((G166-G165)/G165)*100</f>
        <v>0.291739894551852</v>
      </c>
      <c r="Q166" s="8" t="n">
        <f aca="false">((H166-H165)/H165)*100</f>
        <v>-3.44875117511648</v>
      </c>
      <c r="S166" s="9"/>
      <c r="V166" s="9" t="n">
        <f aca="false">K160-$V$4</f>
        <v>1.21962895040635</v>
      </c>
      <c r="W166" s="9" t="n">
        <f aca="false">L160-$W$4</f>
        <v>0.704028806150696</v>
      </c>
      <c r="X166" s="9" t="n">
        <f aca="false">M160-$X$4</f>
        <v>-0.0263625290159091</v>
      </c>
      <c r="Y166" s="9" t="n">
        <f aca="false">N160-$Y$4</f>
        <v>0.69972360805802</v>
      </c>
      <c r="Z166" s="9" t="n">
        <f aca="false">O160-$Z$4</f>
        <v>-1.58691176953828</v>
      </c>
      <c r="AA166" s="9" t="n">
        <f aca="false">P160-$AA$4</f>
        <v>0.840969058785788</v>
      </c>
      <c r="AB166" s="9" t="n">
        <f aca="false">Q160-$AB$4</f>
        <v>5.52025193674762</v>
      </c>
    </row>
    <row r="167" customFormat="false" ht="15.75" hidden="false" customHeight="false" outlineLevel="0" collapsed="false">
      <c r="A167" s="7" t="n">
        <v>45533</v>
      </c>
      <c r="B167" s="1" t="n">
        <v>176.84</v>
      </c>
      <c r="C167" s="9" t="n">
        <v>4511.8</v>
      </c>
      <c r="D167" s="9" t="n">
        <v>2757.6</v>
      </c>
      <c r="E167" s="8" t="n">
        <v>2504.55</v>
      </c>
      <c r="F167" s="9" t="n">
        <v>1565.9</v>
      </c>
      <c r="G167" s="11" t="n">
        <v>1428.35</v>
      </c>
      <c r="H167" s="12" t="n">
        <v>0.569699328</v>
      </c>
      <c r="I167" s="12"/>
      <c r="J167" s="12"/>
      <c r="K167" s="8" t="n">
        <f aca="false">((B167-B166)/B166)*100</f>
        <v>1.77841726618705</v>
      </c>
      <c r="L167" s="8" t="n">
        <f aca="false">((C167-C166)/C166)*100</f>
        <v>0.127606218306499</v>
      </c>
      <c r="M167" s="8" t="n">
        <f aca="false">((D167-D166)/D166)*100</f>
        <v>-1.44388849177985</v>
      </c>
      <c r="N167" s="8" t="n">
        <f aca="false">((E167-E166)/E166)*100</f>
        <v>0.483450351053167</v>
      </c>
      <c r="O167" s="8" t="n">
        <f aca="false">((F167-F166)/F166)*100</f>
        <v>0.613615189385433</v>
      </c>
      <c r="P167" s="8" t="n">
        <f aca="false">((G167-G166)/G166)*100</f>
        <v>0.119160270563896</v>
      </c>
      <c r="Q167" s="8" t="n">
        <f aca="false">((H167-H166)/H166)*100</f>
        <v>0.471602123168337</v>
      </c>
      <c r="S167" s="9"/>
      <c r="V167" s="9" t="n">
        <f aca="false">K161-$V$4</f>
        <v>0.919345383872324</v>
      </c>
      <c r="W167" s="9" t="n">
        <f aca="false">L161-$W$4</f>
        <v>0.58581933917748</v>
      </c>
      <c r="X167" s="9" t="n">
        <f aca="false">M161-$X$4</f>
        <v>-0.317333491433104</v>
      </c>
      <c r="Y167" s="9" t="n">
        <f aca="false">N161-$Y$4</f>
        <v>1.40672657030931</v>
      </c>
      <c r="Z167" s="9" t="n">
        <f aca="false">O161-$Z$4</f>
        <v>0.794763527176674</v>
      </c>
      <c r="AA167" s="9" t="n">
        <f aca="false">P161-$AA$4</f>
        <v>1.22393297761581</v>
      </c>
      <c r="AB167" s="9" t="n">
        <f aca="false">Q161-$AB$4</f>
        <v>-1.46699352086561</v>
      </c>
    </row>
    <row r="168" customFormat="false" ht="15.75" hidden="false" customHeight="false" outlineLevel="0" collapsed="false">
      <c r="A168" s="7" t="n">
        <v>45534</v>
      </c>
      <c r="B168" s="1" t="n">
        <v>176.97</v>
      </c>
      <c r="C168" s="9" t="n">
        <v>4553.75</v>
      </c>
      <c r="D168" s="9" t="n">
        <v>2805.4</v>
      </c>
      <c r="E168" s="8" t="n">
        <v>2500.75</v>
      </c>
      <c r="F168" s="9" t="n">
        <v>1589.05</v>
      </c>
      <c r="G168" s="11" t="n">
        <v>1432.65</v>
      </c>
      <c r="H168" s="12" t="n">
        <v>0.561506373</v>
      </c>
      <c r="I168" s="12"/>
      <c r="J168" s="12"/>
      <c r="K168" s="8" t="n">
        <f aca="false">((B168-B167)/B167)*100</f>
        <v>0.073512779914044</v>
      </c>
      <c r="L168" s="8" t="n">
        <f aca="false">((C168-C167)/C167)*100</f>
        <v>0.929784121636593</v>
      </c>
      <c r="M168" s="8" t="n">
        <f aca="false">((D168-D167)/D167)*100</f>
        <v>1.73339135480128</v>
      </c>
      <c r="N168" s="8" t="n">
        <f aca="false">((E168-E167)/E167)*100</f>
        <v>-0.15172386257013</v>
      </c>
      <c r="O168" s="8" t="n">
        <f aca="false">((F168-F167)/F167)*100</f>
        <v>1.4783830385082</v>
      </c>
      <c r="P168" s="8" t="n">
        <f aca="false">((G168-G167)/G167)*100</f>
        <v>0.301046662232659</v>
      </c>
      <c r="Q168" s="8" t="n">
        <f aca="false">((H168-H167)/H167)*100</f>
        <v>-1.43811912658603</v>
      </c>
      <c r="S168" s="9"/>
      <c r="V168" s="9" t="n">
        <f aca="false">K162-$V$4</f>
        <v>-0.101989675938383</v>
      </c>
      <c r="W168" s="9" t="n">
        <f aca="false">L162-$W$4</f>
        <v>-1.12517285452702</v>
      </c>
      <c r="X168" s="9" t="n">
        <f aca="false">M162-$X$4</f>
        <v>-1.56494317720444</v>
      </c>
      <c r="Y168" s="9" t="n">
        <f aca="false">N162-$Y$4</f>
        <v>0.057104680494194</v>
      </c>
      <c r="Z168" s="9" t="n">
        <f aca="false">O162-$Z$4</f>
        <v>1.37277368768495</v>
      </c>
      <c r="AA168" s="9" t="n">
        <f aca="false">P162-$AA$4</f>
        <v>-1.20552076570544</v>
      </c>
      <c r="AB168" s="9" t="n">
        <f aca="false">Q162-$AB$4</f>
        <v>0.330561423067538</v>
      </c>
    </row>
    <row r="169" customFormat="false" ht="15.75" hidden="false" customHeight="false" outlineLevel="0" collapsed="false">
      <c r="A169" s="7" t="n">
        <v>45537</v>
      </c>
      <c r="B169" s="1" t="n">
        <v>178.73</v>
      </c>
      <c r="C169" s="9" t="n">
        <v>4521.05</v>
      </c>
      <c r="D169" s="9" t="n">
        <v>2777</v>
      </c>
      <c r="E169" s="8" t="n">
        <v>2509.9</v>
      </c>
      <c r="F169" s="9" t="n">
        <v>1571.35</v>
      </c>
      <c r="G169" s="11" t="n">
        <v>1414.35</v>
      </c>
      <c r="H169" s="12" t="n">
        <v>0.548257835</v>
      </c>
      <c r="I169" s="12"/>
      <c r="J169" s="12"/>
      <c r="K169" s="8" t="n">
        <f aca="false">((B169-B168)/B168)*100</f>
        <v>0.994518845001973</v>
      </c>
      <c r="L169" s="8" t="n">
        <f aca="false">((C169-C168)/C168)*100</f>
        <v>-0.718089486686793</v>
      </c>
      <c r="M169" s="8" t="n">
        <f aca="false">((D169-D168)/D168)*100</f>
        <v>-1.01233335709703</v>
      </c>
      <c r="N169" s="8" t="n">
        <f aca="false">((E169-E168)/E168)*100</f>
        <v>0.365890232930125</v>
      </c>
      <c r="O169" s="8" t="n">
        <f aca="false">((F169-F168)/F168)*100</f>
        <v>-1.1138730688147</v>
      </c>
      <c r="P169" s="8" t="n">
        <f aca="false">((G169-G168)/G168)*100</f>
        <v>-1.27735315673753</v>
      </c>
      <c r="Q169" s="8" t="n">
        <f aca="false">((H169-H168)/H168)*100</f>
        <v>-2.3594635140499</v>
      </c>
      <c r="S169" s="9"/>
      <c r="V169" s="9" t="n">
        <f aca="false">K163-$V$4</f>
        <v>-0.424250742524356</v>
      </c>
      <c r="W169" s="9" t="n">
        <f aca="false">L163-$W$4</f>
        <v>-0.883909838292419</v>
      </c>
      <c r="X169" s="9" t="n">
        <f aca="false">M163-$X$4</f>
        <v>0.704408848726423</v>
      </c>
      <c r="Y169" s="9" t="n">
        <f aca="false">N163-$Y$4</f>
        <v>-0.768070562036391</v>
      </c>
      <c r="Z169" s="9" t="n">
        <f aca="false">O163-$Z$4</f>
        <v>1.18046782611171</v>
      </c>
      <c r="AA169" s="9" t="n">
        <f aca="false">P163-$AA$4</f>
        <v>-0.0513312348256323</v>
      </c>
      <c r="AB169" s="9" t="n">
        <f aca="false">Q163-$AB$4</f>
        <v>-1.13061701659772</v>
      </c>
    </row>
    <row r="170" customFormat="false" ht="15.75" hidden="false" customHeight="false" outlineLevel="0" collapsed="false">
      <c r="A170" s="7" t="n">
        <v>45538</v>
      </c>
      <c r="B170" s="1" t="n">
        <v>176.13</v>
      </c>
      <c r="C170" s="9" t="n">
        <v>4512.35</v>
      </c>
      <c r="D170" s="9" t="n">
        <v>2784.85</v>
      </c>
      <c r="E170" s="8" t="n">
        <v>2530.75</v>
      </c>
      <c r="F170" s="9" t="n">
        <v>1560.6</v>
      </c>
      <c r="G170" s="11" t="n">
        <v>1402.65</v>
      </c>
      <c r="H170" s="12" t="n">
        <v>0.567155731</v>
      </c>
      <c r="I170" s="12"/>
      <c r="J170" s="12"/>
      <c r="K170" s="8" t="n">
        <f aca="false">((B170-B169)/B169)*100</f>
        <v>-1.45470821910143</v>
      </c>
      <c r="L170" s="8" t="n">
        <f aca="false">((C170-C169)/C169)*100</f>
        <v>-0.192433173709643</v>
      </c>
      <c r="M170" s="8" t="n">
        <f aca="false">((D170-D169)/D169)*100</f>
        <v>0.282679150162042</v>
      </c>
      <c r="N170" s="8" t="n">
        <f aca="false">((E170-E169)/E169)*100</f>
        <v>0.830710386867999</v>
      </c>
      <c r="O170" s="8" t="n">
        <f aca="false">((F170-F169)/F169)*100</f>
        <v>-0.684125115346677</v>
      </c>
      <c r="P170" s="8" t="n">
        <f aca="false">((G170-G169)/G169)*100</f>
        <v>-0.827235125676093</v>
      </c>
      <c r="Q170" s="8" t="n">
        <f aca="false">((H170-H169)/H169)*100</f>
        <v>3.44689939542771</v>
      </c>
      <c r="S170" s="9"/>
      <c r="V170" s="9" t="n">
        <f aca="false">K164-$V$4</f>
        <v>0.146126157302438</v>
      </c>
      <c r="W170" s="9" t="n">
        <f aca="false">L164-$W$4</f>
        <v>0.825975313821164</v>
      </c>
      <c r="X170" s="9" t="n">
        <f aca="false">M164-$X$4</f>
        <v>0.987181446390665</v>
      </c>
      <c r="Y170" s="9" t="n">
        <f aca="false">N164-$Y$4</f>
        <v>-0.295047296591349</v>
      </c>
      <c r="Z170" s="9" t="n">
        <f aca="false">O164-$Z$4</f>
        <v>0.259280642451695</v>
      </c>
      <c r="AA170" s="9" t="n">
        <f aca="false">P164-$AA$4</f>
        <v>0.799682331328848</v>
      </c>
      <c r="AB170" s="9" t="n">
        <f aca="false">Q164-$AB$4</f>
        <v>-0.373807098184289</v>
      </c>
    </row>
    <row r="171" customFormat="false" ht="15.75" hidden="false" customHeight="false" outlineLevel="0" collapsed="false">
      <c r="A171" s="7" t="n">
        <v>45539</v>
      </c>
      <c r="B171" s="1" t="n">
        <v>177.03</v>
      </c>
      <c r="C171" s="9" t="n">
        <v>4479.25</v>
      </c>
      <c r="D171" s="9" t="n">
        <v>2749.6</v>
      </c>
      <c r="E171" s="8" t="n">
        <v>2534.75</v>
      </c>
      <c r="F171" s="9" t="n">
        <v>1561.9</v>
      </c>
      <c r="G171" s="11" t="n">
        <v>1394</v>
      </c>
      <c r="H171" s="12" t="n">
        <v>0.557429889</v>
      </c>
      <c r="I171" s="12"/>
      <c r="J171" s="12"/>
      <c r="K171" s="8" t="n">
        <f aca="false">((B171-B170)/B170)*100</f>
        <v>0.510986203372512</v>
      </c>
      <c r="L171" s="8" t="n">
        <f aca="false">((C171-C170)/C170)*100</f>
        <v>-0.733542389220702</v>
      </c>
      <c r="M171" s="8" t="n">
        <f aca="false">((D171-D170)/D170)*100</f>
        <v>-1.26577733091549</v>
      </c>
      <c r="N171" s="8" t="n">
        <f aca="false">((E171-E170)/E170)*100</f>
        <v>0.158055912278969</v>
      </c>
      <c r="O171" s="8" t="n">
        <f aca="false">((F171-F170)/F170)*100</f>
        <v>0.0833012943739704</v>
      </c>
      <c r="P171" s="8" t="n">
        <f aca="false">((G171-G170)/G170)*100</f>
        <v>-0.616689837094078</v>
      </c>
      <c r="Q171" s="8" t="n">
        <f aca="false">((H171-H170)/H170)*100</f>
        <v>-1.71484505373006</v>
      </c>
      <c r="S171" s="9"/>
      <c r="V171" s="9" t="n">
        <f aca="false">K165-$V$4</f>
        <v>-0.165547431481436</v>
      </c>
      <c r="W171" s="9" t="n">
        <f aca="false">L165-$W$4</f>
        <v>-0.155332989967194</v>
      </c>
      <c r="X171" s="9" t="n">
        <f aca="false">M165-$X$4</f>
        <v>-0.689144523827263</v>
      </c>
      <c r="Y171" s="9" t="n">
        <f aca="false">N165-$Y$4</f>
        <v>0.161906566018606</v>
      </c>
      <c r="Z171" s="9" t="n">
        <f aca="false">O165-$Z$4</f>
        <v>0.415820659754719</v>
      </c>
      <c r="AA171" s="9" t="n">
        <f aca="false">P165-$AA$4</f>
        <v>0.125099952522593</v>
      </c>
      <c r="AB171" s="9" t="n">
        <f aca="false">Q165-$AB$4</f>
        <v>-2.71987167111069</v>
      </c>
    </row>
    <row r="172" customFormat="false" ht="15.75" hidden="false" customHeight="false" outlineLevel="0" collapsed="false">
      <c r="A172" s="7" t="n">
        <v>45540</v>
      </c>
      <c r="B172" s="1" t="n">
        <v>181.34</v>
      </c>
      <c r="C172" s="9" t="n">
        <v>4475.95</v>
      </c>
      <c r="D172" s="9" t="n">
        <v>2723.1</v>
      </c>
      <c r="E172" s="8" t="n">
        <v>2504.9</v>
      </c>
      <c r="F172" s="9" t="n">
        <v>1547.2</v>
      </c>
      <c r="G172" s="11" t="n">
        <v>1371</v>
      </c>
      <c r="H172" s="12" t="n">
        <v>0.557923439</v>
      </c>
      <c r="I172" s="12"/>
      <c r="J172" s="12"/>
      <c r="K172" s="8" t="n">
        <f aca="false">((B172-B171)/B171)*100</f>
        <v>2.43461560187539</v>
      </c>
      <c r="L172" s="8" t="n">
        <f aca="false">((C172-C171)/C171)*100</f>
        <v>-0.0736730479432981</v>
      </c>
      <c r="M172" s="8" t="n">
        <f aca="false">((D172-D171)/D171)*100</f>
        <v>-0.963776549316264</v>
      </c>
      <c r="N172" s="8" t="n">
        <f aca="false">((E172-E171)/E171)*100</f>
        <v>-1.177630930072</v>
      </c>
      <c r="O172" s="8" t="n">
        <f aca="false">((F172-F171)/F171)*100</f>
        <v>-0.941161405979899</v>
      </c>
      <c r="P172" s="8" t="n">
        <f aca="false">((G172-G171)/G171)*100</f>
        <v>-1.64992826398852</v>
      </c>
      <c r="Q172" s="8" t="n">
        <f aca="false">((H172-H171)/H171)*100</f>
        <v>0.0885402827762531</v>
      </c>
      <c r="S172" s="9"/>
      <c r="V172" s="9" t="n">
        <f aca="false">K166-$V$4</f>
        <v>0.24411823242152</v>
      </c>
      <c r="W172" s="9" t="n">
        <f aca="false">L166-$W$4</f>
        <v>0.160283815664649</v>
      </c>
      <c r="X172" s="9" t="n">
        <f aca="false">M166-$X$4</f>
        <v>0.369753432788562</v>
      </c>
      <c r="Y172" s="9" t="n">
        <f aca="false">N166-$Y$4</f>
        <v>-1.06165260808908</v>
      </c>
      <c r="Z172" s="9" t="n">
        <f aca="false">O166-$Z$4</f>
        <v>2.01451240107567</v>
      </c>
      <c r="AA172" s="9" t="n">
        <f aca="false">P166-$AA$4</f>
        <v>0.311280381909068</v>
      </c>
      <c r="AB172" s="9" t="n">
        <f aca="false">Q166-$AB$4</f>
        <v>-4.12800889151963</v>
      </c>
    </row>
    <row r="173" customFormat="false" ht="15.75" hidden="false" customHeight="false" outlineLevel="0" collapsed="false">
      <c r="A173" s="7" t="n">
        <v>45541</v>
      </c>
      <c r="B173" s="1" t="n">
        <v>176.64</v>
      </c>
      <c r="C173" s="9" t="n">
        <v>4456.75</v>
      </c>
      <c r="D173" s="9" t="n">
        <v>2698.1</v>
      </c>
      <c r="E173" s="8" t="n">
        <v>2503.2</v>
      </c>
      <c r="F173" s="9" t="n">
        <v>1539.25</v>
      </c>
      <c r="G173" s="11" t="n">
        <v>1360</v>
      </c>
      <c r="H173" s="12" t="n">
        <v>0.544109891</v>
      </c>
      <c r="I173" s="12"/>
      <c r="J173" s="12"/>
      <c r="K173" s="8" t="n">
        <f aca="false">((B173-B172)/B172)*100</f>
        <v>-2.5918164773354</v>
      </c>
      <c r="L173" s="8" t="n">
        <f aca="false">((C173-C172)/C172)*100</f>
        <v>-0.428959215362098</v>
      </c>
      <c r="M173" s="8" t="n">
        <f aca="false">((D173-D172)/D172)*100</f>
        <v>-0.91807131577981</v>
      </c>
      <c r="N173" s="8" t="n">
        <f aca="false">((E173-E172)/E172)*100</f>
        <v>-0.067866980717804</v>
      </c>
      <c r="O173" s="8" t="n">
        <f aca="false">((F173-F172)/F172)*100</f>
        <v>-0.51383143743537</v>
      </c>
      <c r="P173" s="8" t="n">
        <f aca="false">((G173-G172)/G172)*100</f>
        <v>-0.802334062727936</v>
      </c>
      <c r="Q173" s="8" t="n">
        <f aca="false">((H173-H172)/H172)*100</f>
        <v>-2.47588594319659</v>
      </c>
      <c r="S173" s="9"/>
      <c r="V173" s="9" t="n">
        <f aca="false">K167-$V$4</f>
        <v>1.73393521000828</v>
      </c>
      <c r="W173" s="9" t="n">
        <f aca="false">L167-$W$4</f>
        <v>0.0899869175529596</v>
      </c>
      <c r="X173" s="9" t="n">
        <f aca="false">M167-$X$4</f>
        <v>-1.69266210156895</v>
      </c>
      <c r="Y173" s="9" t="n">
        <f aca="false">N167-$Y$4</f>
        <v>0.569946625551476</v>
      </c>
      <c r="Z173" s="9" t="n">
        <f aca="false">O167-$Z$4</f>
        <v>0.421593359628735</v>
      </c>
      <c r="AA173" s="9" t="n">
        <f aca="false">P167-$AA$4</f>
        <v>0.138700757921112</v>
      </c>
      <c r="AB173" s="9" t="n">
        <f aca="false">Q167-$AB$4</f>
        <v>-0.207655593234812</v>
      </c>
    </row>
    <row r="174" customFormat="false" ht="15.75" hidden="false" customHeight="false" outlineLevel="0" collapsed="false">
      <c r="A174" s="7" t="n">
        <v>45544</v>
      </c>
      <c r="B174" s="1" t="n">
        <v>175.34</v>
      </c>
      <c r="C174" s="9" t="n">
        <v>4449.55</v>
      </c>
      <c r="D174" s="9" t="n">
        <v>2708.85</v>
      </c>
      <c r="E174" s="8" t="n">
        <v>2516.75</v>
      </c>
      <c r="F174" s="9" t="n">
        <v>1542.65</v>
      </c>
      <c r="G174" s="11" t="n">
        <v>1366</v>
      </c>
      <c r="H174" s="12" t="n">
        <v>0.528529171</v>
      </c>
      <c r="I174" s="12"/>
      <c r="J174" s="12"/>
      <c r="K174" s="8" t="n">
        <f aca="false">((B174-B173)/B173)*100</f>
        <v>-0.735960144927527</v>
      </c>
      <c r="L174" s="8" t="n">
        <f aca="false">((C174-C173)/C173)*100</f>
        <v>-0.161552700959215</v>
      </c>
      <c r="M174" s="8" t="n">
        <f aca="false">((D174-D173)/D173)*100</f>
        <v>0.398428523775991</v>
      </c>
      <c r="N174" s="8" t="n">
        <f aca="false">((E174-E173)/E173)*100</f>
        <v>0.541307126877604</v>
      </c>
      <c r="O174" s="8" t="n">
        <f aca="false">((F174-F173)/F173)*100</f>
        <v>0.220886795517303</v>
      </c>
      <c r="P174" s="8" t="n">
        <f aca="false">((G174-G173)/G173)*100</f>
        <v>0.441176470588235</v>
      </c>
      <c r="Q174" s="8" t="n">
        <f aca="false">((H174-H173)/H173)*100</f>
        <v>-2.8635244934373</v>
      </c>
      <c r="S174" s="9"/>
      <c r="V174" s="9" t="n">
        <f aca="false">K168-$V$4</f>
        <v>0.0290307237352756</v>
      </c>
      <c r="W174" s="9" t="n">
        <f aca="false">L168-$W$4</f>
        <v>0.892164820883054</v>
      </c>
      <c r="X174" s="9" t="n">
        <f aca="false">M168-$X$4</f>
        <v>1.48461774501218</v>
      </c>
      <c r="Y174" s="9" t="n">
        <f aca="false">N168-$Y$4</f>
        <v>-0.0652275880718208</v>
      </c>
      <c r="Z174" s="9" t="n">
        <f aca="false">O168-$Z$4</f>
        <v>1.2863612087515</v>
      </c>
      <c r="AA174" s="9" t="n">
        <f aca="false">P168-$AA$4</f>
        <v>0.320587149589876</v>
      </c>
      <c r="AB174" s="9" t="n">
        <f aca="false">Q168-$AB$4</f>
        <v>-2.11737684298917</v>
      </c>
    </row>
    <row r="175" customFormat="false" ht="15.75" hidden="false" customHeight="false" outlineLevel="0" collapsed="false">
      <c r="A175" s="7" t="n">
        <v>45545</v>
      </c>
      <c r="B175" s="1" t="n">
        <v>175.55</v>
      </c>
      <c r="C175" s="9" t="n">
        <v>4507.85</v>
      </c>
      <c r="D175" s="9" t="n">
        <v>2690</v>
      </c>
      <c r="E175" s="8" t="n">
        <v>2535.5</v>
      </c>
      <c r="F175" s="9" t="n">
        <v>1577.85</v>
      </c>
      <c r="G175" s="11" t="n">
        <v>1353.35</v>
      </c>
      <c r="H175" s="12" t="n">
        <v>0.539608961</v>
      </c>
      <c r="I175" s="12"/>
      <c r="J175" s="12"/>
      <c r="K175" s="8" t="n">
        <f aca="false">((B175-B174)/B174)*100</f>
        <v>0.119767309227791</v>
      </c>
      <c r="L175" s="8" t="n">
        <f aca="false">((C175-C174)/C174)*100</f>
        <v>1.31024485622142</v>
      </c>
      <c r="M175" s="8" t="n">
        <f aca="false">((D175-D174)/D174)*100</f>
        <v>-0.695867249940008</v>
      </c>
      <c r="N175" s="8" t="n">
        <f aca="false">((E175-E174)/E174)*100</f>
        <v>0.745008443429026</v>
      </c>
      <c r="O175" s="8" t="n">
        <f aca="false">((F175-F174)/F174)*100</f>
        <v>2.28178783262567</v>
      </c>
      <c r="P175" s="8" t="n">
        <f aca="false">((G175-G174)/G174)*100</f>
        <v>-0.926061493411427</v>
      </c>
      <c r="Q175" s="8" t="n">
        <f aca="false">((H175-H174)/H174)*100</f>
        <v>2.09634408239693</v>
      </c>
      <c r="S175" s="9"/>
      <c r="V175" s="9" t="n">
        <f aca="false">K169-$V$4</f>
        <v>0.950036788823204</v>
      </c>
      <c r="W175" s="9" t="n">
        <f aca="false">L169-$W$4</f>
        <v>-0.755708787440332</v>
      </c>
      <c r="X175" s="9" t="n">
        <f aca="false">M169-$X$4</f>
        <v>-1.26110696688614</v>
      </c>
      <c r="Y175" s="9" t="n">
        <f aca="false">N169-$Y$4</f>
        <v>0.452386507428433</v>
      </c>
      <c r="Z175" s="9" t="n">
        <f aca="false">O169-$Z$4</f>
        <v>-1.3058948985714</v>
      </c>
      <c r="AA175" s="9" t="n">
        <f aca="false">P169-$AA$4</f>
        <v>-1.25781266938031</v>
      </c>
      <c r="AB175" s="9" t="n">
        <f aca="false">Q169-$AB$4</f>
        <v>-3.03872123045305</v>
      </c>
    </row>
    <row r="176" customFormat="false" ht="15.75" hidden="false" customHeight="false" outlineLevel="0" collapsed="false">
      <c r="A176" s="7" t="n">
        <v>45546</v>
      </c>
      <c r="B176" s="1" t="n">
        <v>169.74</v>
      </c>
      <c r="C176" s="9" t="n">
        <v>4479.35</v>
      </c>
      <c r="D176" s="9" t="n">
        <v>2654.25</v>
      </c>
      <c r="E176" s="8" t="n">
        <v>2526.85</v>
      </c>
      <c r="F176" s="9" t="n">
        <v>1577.8</v>
      </c>
      <c r="G176" s="11" t="n">
        <v>1358.35</v>
      </c>
      <c r="H176" s="12" t="n">
        <v>0.540998952</v>
      </c>
      <c r="I176" s="12"/>
      <c r="J176" s="12"/>
      <c r="K176" s="8" t="n">
        <f aca="false">((B176-B175)/B175)*100</f>
        <v>-3.30959840501282</v>
      </c>
      <c r="L176" s="8" t="n">
        <f aca="false">((C176-C175)/C175)*100</f>
        <v>-0.632230442450392</v>
      </c>
      <c r="M176" s="8" t="n">
        <f aca="false">((D176-D175)/D175)*100</f>
        <v>-1.32899628252788</v>
      </c>
      <c r="N176" s="8" t="n">
        <f aca="false">((E176-E175)/E175)*100</f>
        <v>-0.341155590613295</v>
      </c>
      <c r="O176" s="8" t="n">
        <f aca="false">((F176-F175)/F175)*100</f>
        <v>-0.00316886903064008</v>
      </c>
      <c r="P176" s="8" t="n">
        <f aca="false">((G176-G175)/G175)*100</f>
        <v>0.369453578157904</v>
      </c>
      <c r="Q176" s="8" t="n">
        <f aca="false">((H176-H175)/H175)*100</f>
        <v>0.257592275232812</v>
      </c>
      <c r="S176" s="9"/>
      <c r="V176" s="9" t="n">
        <f aca="false">K170-$V$4</f>
        <v>-1.4991902752802</v>
      </c>
      <c r="W176" s="9" t="n">
        <f aca="false">L170-$W$4</f>
        <v>-0.230052474463183</v>
      </c>
      <c r="X176" s="9" t="n">
        <f aca="false">M170-$X$4</f>
        <v>0.0339055403729348</v>
      </c>
      <c r="Y176" s="9" t="n">
        <f aca="false">N170-$Y$4</f>
        <v>0.917206661366308</v>
      </c>
      <c r="Z176" s="9" t="n">
        <f aca="false">O170-$Z$4</f>
        <v>-0.876146945103374</v>
      </c>
      <c r="AA176" s="9" t="n">
        <f aca="false">P170-$AA$4</f>
        <v>-0.807694638318876</v>
      </c>
      <c r="AB176" s="9" t="n">
        <f aca="false">Q170-$AB$4</f>
        <v>2.76764167902456</v>
      </c>
    </row>
    <row r="177" customFormat="false" ht="15.75" hidden="false" customHeight="false" outlineLevel="0" collapsed="false">
      <c r="A177" s="7" t="n">
        <v>45547</v>
      </c>
      <c r="B177" s="1" t="n">
        <v>173.26</v>
      </c>
      <c r="C177" s="9" t="n">
        <v>4517.7</v>
      </c>
      <c r="D177" s="9" t="n">
        <v>2740.9</v>
      </c>
      <c r="E177" s="8" t="n">
        <v>2527.85</v>
      </c>
      <c r="F177" s="9" t="n">
        <v>1646.75</v>
      </c>
      <c r="G177" s="11" t="n">
        <v>1376</v>
      </c>
      <c r="H177" s="12" t="n">
        <v>0.535503559</v>
      </c>
      <c r="I177" s="12"/>
      <c r="J177" s="12"/>
      <c r="K177" s="8" t="n">
        <f aca="false">((B177-B176)/B176)*100</f>
        <v>2.07375986803345</v>
      </c>
      <c r="L177" s="8" t="n">
        <f aca="false">((C177-C176)/C176)*100</f>
        <v>0.856151004051915</v>
      </c>
      <c r="M177" s="8" t="n">
        <f aca="false">((D177-D176)/D176)*100</f>
        <v>3.26457568051239</v>
      </c>
      <c r="N177" s="8" t="n">
        <f aca="false">((E177-E176)/E176)*100</f>
        <v>0.0395749648772187</v>
      </c>
      <c r="O177" s="8" t="n">
        <f aca="false">((F177-F176)/F176)*100</f>
        <v>4.37000887311447</v>
      </c>
      <c r="P177" s="8" t="n">
        <f aca="false">((G177-G176)/G176)*100</f>
        <v>1.29937055987044</v>
      </c>
      <c r="Q177" s="8" t="n">
        <f aca="false">((H177-H176)/H176)*100</f>
        <v>-1.01578625608872</v>
      </c>
      <c r="S177" s="9"/>
      <c r="V177" s="9" t="n">
        <f aca="false">K171-$V$4</f>
        <v>0.466504147193744</v>
      </c>
      <c r="W177" s="9" t="n">
        <f aca="false">L171-$W$4</f>
        <v>-0.771161689974242</v>
      </c>
      <c r="X177" s="9" t="n">
        <f aca="false">M171-$X$4</f>
        <v>-1.5145509407046</v>
      </c>
      <c r="Y177" s="9" t="n">
        <f aca="false">N171-$Y$4</f>
        <v>0.244552186777278</v>
      </c>
      <c r="Z177" s="9" t="n">
        <f aca="false">O171-$Z$4</f>
        <v>-0.108720535382728</v>
      </c>
      <c r="AA177" s="9" t="n">
        <f aca="false">P171-$AA$4</f>
        <v>-0.597149349736862</v>
      </c>
      <c r="AB177" s="9" t="n">
        <f aca="false">Q171-$AB$4</f>
        <v>-2.3941027701332</v>
      </c>
    </row>
    <row r="178" customFormat="false" ht="15.75" hidden="false" customHeight="false" outlineLevel="0" collapsed="false">
      <c r="A178" s="7" t="n">
        <v>45548</v>
      </c>
      <c r="B178" s="1" t="n">
        <v>173.19</v>
      </c>
      <c r="C178" s="9" t="n">
        <v>4522.6</v>
      </c>
      <c r="D178" s="9" t="n">
        <v>2739.1</v>
      </c>
      <c r="E178" s="8" t="n">
        <v>2531.4</v>
      </c>
      <c r="F178" s="9" t="n">
        <v>1634.45</v>
      </c>
      <c r="G178" s="11" t="n">
        <v>1370.65</v>
      </c>
      <c r="H178" s="12" t="n">
        <v>0.562511084</v>
      </c>
      <c r="I178" s="12"/>
      <c r="J178" s="12"/>
      <c r="K178" s="8" t="n">
        <f aca="false">((B178-B177)/B177)*100</f>
        <v>-0.0404017084150948</v>
      </c>
      <c r="L178" s="8" t="n">
        <f aca="false">((C178-C177)/C177)*100</f>
        <v>0.108462270624445</v>
      </c>
      <c r="M178" s="8" t="n">
        <f aca="false">((D178-D177)/D177)*100</f>
        <v>-0.0656718596081645</v>
      </c>
      <c r="N178" s="8" t="n">
        <f aca="false">((E178-E177)/E177)*100</f>
        <v>0.140435547995339</v>
      </c>
      <c r="O178" s="8" t="n">
        <f aca="false">((F178-F177)/F177)*100</f>
        <v>-0.746925762866249</v>
      </c>
      <c r="P178" s="8" t="n">
        <f aca="false">((G178-G177)/G177)*100</f>
        <v>-0.388808139534877</v>
      </c>
      <c r="Q178" s="8" t="n">
        <f aca="false">((H178-H177)/H177)*100</f>
        <v>5.04338851648977</v>
      </c>
      <c r="S178" s="9"/>
      <c r="V178" s="9" t="n">
        <f aca="false">K172-$V$4</f>
        <v>2.39013354569662</v>
      </c>
      <c r="W178" s="9" t="n">
        <f aca="false">L172-$W$4</f>
        <v>-0.111292348696838</v>
      </c>
      <c r="X178" s="9" t="n">
        <f aca="false">M172-$X$4</f>
        <v>-1.21255015910537</v>
      </c>
      <c r="Y178" s="9" t="n">
        <f aca="false">N172-$Y$4</f>
        <v>-1.09113465557369</v>
      </c>
      <c r="Z178" s="9" t="n">
        <f aca="false">O172-$Z$4</f>
        <v>-1.1331832357366</v>
      </c>
      <c r="AA178" s="9" t="n">
        <f aca="false">P172-$AA$4</f>
        <v>-1.63038777663131</v>
      </c>
      <c r="AB178" s="9" t="n">
        <f aca="false">Q172-$AB$4</f>
        <v>-0.590717433626896</v>
      </c>
    </row>
    <row r="179" customFormat="false" ht="15.75" hidden="false" customHeight="false" outlineLevel="0" collapsed="false">
      <c r="A179" s="7" t="n">
        <v>45551</v>
      </c>
      <c r="B179" s="1" t="n">
        <v>171.82</v>
      </c>
      <c r="C179" s="9" t="n">
        <v>4513.25</v>
      </c>
      <c r="D179" s="9" t="n">
        <v>2757.4</v>
      </c>
      <c r="E179" s="8" t="n">
        <v>2549.6</v>
      </c>
      <c r="F179" s="9" t="n">
        <v>1635.45</v>
      </c>
      <c r="G179" s="11" t="n">
        <v>1369.35</v>
      </c>
      <c r="H179" s="12" t="n">
        <v>0.571058256</v>
      </c>
      <c r="I179" s="12"/>
      <c r="J179" s="12"/>
      <c r="K179" s="8" t="n">
        <f aca="false">((B179-B178)/B178)*100</f>
        <v>-0.791038743576422</v>
      </c>
      <c r="L179" s="8" t="n">
        <f aca="false">((C179-C178)/C178)*100</f>
        <v>-0.206739486136301</v>
      </c>
      <c r="M179" s="8" t="n">
        <f aca="false">((D179-D178)/D178)*100</f>
        <v>0.66810266145815</v>
      </c>
      <c r="N179" s="8" t="n">
        <f aca="false">((E179-E178)/E178)*100</f>
        <v>0.718969740064779</v>
      </c>
      <c r="O179" s="8" t="n">
        <f aca="false">((F179-F178)/F178)*100</f>
        <v>0.0611826608339197</v>
      </c>
      <c r="P179" s="8" t="n">
        <f aca="false">((G179-G178)/G178)*100</f>
        <v>-0.094845511253798</v>
      </c>
      <c r="Q179" s="8" t="n">
        <f aca="false">((H179-H178)/H178)*100</f>
        <v>1.51946730351006</v>
      </c>
      <c r="S179" s="9"/>
      <c r="V179" s="9" t="n">
        <f aca="false">K173-$V$4</f>
        <v>-2.63629853351417</v>
      </c>
      <c r="W179" s="9" t="n">
        <f aca="false">L173-$W$4</f>
        <v>-0.466578516115637</v>
      </c>
      <c r="X179" s="9" t="n">
        <f aca="false">M173-$X$4</f>
        <v>-1.16684492556892</v>
      </c>
      <c r="Y179" s="9" t="n">
        <f aca="false">N173-$Y$4</f>
        <v>0.0186292937805048</v>
      </c>
      <c r="Z179" s="9" t="n">
        <f aca="false">O173-$Z$4</f>
        <v>-0.705853267192068</v>
      </c>
      <c r="AA179" s="9" t="n">
        <f aca="false">P173-$AA$4</f>
        <v>-0.782793575370719</v>
      </c>
      <c r="AB179" s="9" t="n">
        <f aca="false">Q173-$AB$4</f>
        <v>-3.15514365959974</v>
      </c>
    </row>
    <row r="180" customFormat="false" ht="15.75" hidden="false" customHeight="false" outlineLevel="0" collapsed="false">
      <c r="A180" s="7" t="n">
        <v>45552</v>
      </c>
      <c r="B180" s="1" t="n">
        <v>170.51</v>
      </c>
      <c r="C180" s="9" t="n">
        <v>4505.65</v>
      </c>
      <c r="D180" s="9" t="n">
        <v>2787.65</v>
      </c>
      <c r="E180" s="8" t="n">
        <v>2546.85</v>
      </c>
      <c r="F180" s="9" t="n">
        <v>1661.75</v>
      </c>
      <c r="G180" s="11" t="n">
        <v>1380</v>
      </c>
      <c r="H180" s="12" t="n">
        <v>0.585505255</v>
      </c>
      <c r="I180" s="12"/>
      <c r="J180" s="12"/>
      <c r="K180" s="8" t="n">
        <f aca="false">((B180-B179)/B179)*100</f>
        <v>-0.762425794436039</v>
      </c>
      <c r="L180" s="8" t="n">
        <f aca="false">((C180-C179)/C179)*100</f>
        <v>-0.168393064864574</v>
      </c>
      <c r="M180" s="8" t="n">
        <f aca="false">((D180-D179)/D179)*100</f>
        <v>1.09704794371509</v>
      </c>
      <c r="N180" s="8" t="n">
        <f aca="false">((E180-E179)/E179)*100</f>
        <v>-0.107860056479448</v>
      </c>
      <c r="O180" s="8" t="n">
        <f aca="false">((F180-F179)/F179)*100</f>
        <v>1.60812008927206</v>
      </c>
      <c r="P180" s="8" t="n">
        <f aca="false">((G180-G179)/G179)*100</f>
        <v>0.777741264103413</v>
      </c>
      <c r="Q180" s="8" t="n">
        <f aca="false">((H180-H179)/H179)*100</f>
        <v>2.52986430862492</v>
      </c>
      <c r="S180" s="9"/>
      <c r="V180" s="9" t="n">
        <f aca="false">K174-$V$4</f>
        <v>-0.780442201106295</v>
      </c>
      <c r="W180" s="9" t="n">
        <f aca="false">L174-$W$4</f>
        <v>-0.199172001712755</v>
      </c>
      <c r="X180" s="9" t="n">
        <f aca="false">M174-$X$4</f>
        <v>0.149654913986883</v>
      </c>
      <c r="Y180" s="9" t="n">
        <f aca="false">N174-$Y$4</f>
        <v>0.627803401375913</v>
      </c>
      <c r="Z180" s="9" t="n">
        <f aca="false">O174-$Z$4</f>
        <v>0.0288649657606054</v>
      </c>
      <c r="AA180" s="9" t="n">
        <f aca="false">P174-$AA$4</f>
        <v>0.460716957945452</v>
      </c>
      <c r="AB180" s="9" t="n">
        <f aca="false">Q174-$AB$4</f>
        <v>-3.54278220984045</v>
      </c>
    </row>
    <row r="181" customFormat="false" ht="15.75" hidden="false" customHeight="false" outlineLevel="0" collapsed="false">
      <c r="A181" s="7" t="n">
        <v>45553</v>
      </c>
      <c r="B181" s="1" t="n">
        <v>168.45</v>
      </c>
      <c r="C181" s="9" t="n">
        <v>4346.15</v>
      </c>
      <c r="D181" s="9" t="n">
        <v>2808.2</v>
      </c>
      <c r="E181" s="8" t="n">
        <v>2597.15</v>
      </c>
      <c r="F181" s="9" t="n">
        <v>1654.9</v>
      </c>
      <c r="G181" s="11" t="n">
        <v>1374</v>
      </c>
      <c r="H181" s="12" t="n">
        <v>0.584988978</v>
      </c>
      <c r="I181" s="12"/>
      <c r="J181" s="12"/>
      <c r="K181" s="8" t="n">
        <f aca="false">((B181-B180)/B180)*100</f>
        <v>-1.20814028502727</v>
      </c>
      <c r="L181" s="8" t="n">
        <f aca="false">((C181-C180)/C180)*100</f>
        <v>-3.53999977805644</v>
      </c>
      <c r="M181" s="8" t="n">
        <f aca="false">((D181-D180)/D180)*100</f>
        <v>0.737180062059431</v>
      </c>
      <c r="N181" s="8" t="n">
        <f aca="false">((E181-E180)/E180)*100</f>
        <v>1.97498871154564</v>
      </c>
      <c r="O181" s="8" t="n">
        <f aca="false">((F181-F180)/F180)*100</f>
        <v>-0.412216037310059</v>
      </c>
      <c r="P181" s="8" t="n">
        <f aca="false">((G181-G180)/G180)*100</f>
        <v>-0.434782608695652</v>
      </c>
      <c r="Q181" s="8" t="n">
        <f aca="false">((H181-H180)/H180)*100</f>
        <v>-0.088176322174922</v>
      </c>
      <c r="S181" s="9"/>
      <c r="V181" s="9" t="n">
        <f aca="false">K175-$V$4</f>
        <v>0.0752852530490221</v>
      </c>
      <c r="W181" s="9" t="n">
        <f aca="false">L175-$W$4</f>
        <v>1.27262555546788</v>
      </c>
      <c r="X181" s="9" t="n">
        <f aca="false">M175-$X$4</f>
        <v>-0.944640859729115</v>
      </c>
      <c r="Y181" s="9" t="n">
        <f aca="false">N175-$Y$4</f>
        <v>0.831504717927334</v>
      </c>
      <c r="Z181" s="9" t="n">
        <f aca="false">O175-$Z$4</f>
        <v>2.08976600286897</v>
      </c>
      <c r="AA181" s="9" t="n">
        <f aca="false">P175-$AA$4</f>
        <v>-0.90652100605421</v>
      </c>
      <c r="AB181" s="9" t="n">
        <f aca="false">Q175-$AB$4</f>
        <v>1.41708636599378</v>
      </c>
    </row>
    <row r="182" customFormat="false" ht="15.75" hidden="false" customHeight="false" outlineLevel="0" collapsed="false">
      <c r="A182" s="7" t="n">
        <v>45554</v>
      </c>
      <c r="B182" s="1" t="n">
        <v>165.04</v>
      </c>
      <c r="C182" s="9" t="n">
        <v>4296.15</v>
      </c>
      <c r="D182" s="9" t="n">
        <v>2797.5</v>
      </c>
      <c r="E182" s="8" t="n">
        <v>2634.2</v>
      </c>
      <c r="F182" s="9" t="n">
        <v>1664.85</v>
      </c>
      <c r="G182" s="11" t="n">
        <v>1391</v>
      </c>
      <c r="H182" s="12" t="n">
        <v>0.585435428</v>
      </c>
      <c r="I182" s="12"/>
      <c r="J182" s="12"/>
      <c r="K182" s="8" t="n">
        <f aca="false">((B182-B181)/B181)*100</f>
        <v>-2.02433956663698</v>
      </c>
      <c r="L182" s="8" t="n">
        <f aca="false">((C182-C181)/C181)*100</f>
        <v>-1.1504434959677</v>
      </c>
      <c r="M182" s="8" t="n">
        <f aca="false">((D182-D181)/D181)*100</f>
        <v>-0.381026992379454</v>
      </c>
      <c r="N182" s="8" t="n">
        <f aca="false">((E182-E181)/E181)*100</f>
        <v>1.42656373332306</v>
      </c>
      <c r="O182" s="8" t="n">
        <f aca="false">((F182-F181)/F181)*100</f>
        <v>0.601244788204714</v>
      </c>
      <c r="P182" s="8" t="n">
        <f aca="false">((G182-G181)/G181)*100</f>
        <v>1.2372634643377</v>
      </c>
      <c r="Q182" s="8" t="n">
        <f aca="false">((H182-H181)/H181)*100</f>
        <v>0.0763176772195505</v>
      </c>
      <c r="S182" s="9"/>
      <c r="V182" s="9" t="n">
        <f aca="false">K176-$V$4</f>
        <v>-3.35408046119159</v>
      </c>
      <c r="W182" s="9" t="n">
        <f aca="false">L176-$W$4</f>
        <v>-0.669849743203932</v>
      </c>
      <c r="X182" s="9" t="n">
        <f aca="false">M176-$X$4</f>
        <v>-1.57776989231699</v>
      </c>
      <c r="Y182" s="9" t="n">
        <f aca="false">N176-$Y$4</f>
        <v>-0.254659316114986</v>
      </c>
      <c r="Z182" s="9" t="n">
        <f aca="false">O176-$Z$4</f>
        <v>-0.195190698787338</v>
      </c>
      <c r="AA182" s="9" t="n">
        <f aca="false">P176-$AA$4</f>
        <v>0.388994065515121</v>
      </c>
      <c r="AB182" s="9" t="n">
        <f aca="false">Q176-$AB$4</f>
        <v>-0.421665441170337</v>
      </c>
    </row>
    <row r="183" customFormat="false" ht="15.75" hidden="false" customHeight="false" outlineLevel="0" collapsed="false">
      <c r="A183" s="7" t="n">
        <v>45555</v>
      </c>
      <c r="B183" s="1" t="n">
        <v>167.05</v>
      </c>
      <c r="C183" s="9" t="n">
        <v>4284.9</v>
      </c>
      <c r="D183" s="9" t="n">
        <v>2950.85</v>
      </c>
      <c r="E183" s="8" t="n">
        <v>2699.55</v>
      </c>
      <c r="F183" s="9" t="n">
        <v>1711.75</v>
      </c>
      <c r="G183" s="11" t="n">
        <v>1396.65</v>
      </c>
      <c r="H183" s="12" t="n">
        <v>0.587408387</v>
      </c>
      <c r="I183" s="12"/>
      <c r="J183" s="12"/>
      <c r="K183" s="8" t="n">
        <f aca="false">((B183-B182)/B182)*100</f>
        <v>1.21788657295202</v>
      </c>
      <c r="L183" s="8" t="n">
        <f aca="false">((C183-C182)/C182)*100</f>
        <v>-0.261862365140882</v>
      </c>
      <c r="M183" s="8" t="n">
        <f aca="false">((D183-D182)/D182)*100</f>
        <v>5.4816800714924</v>
      </c>
      <c r="N183" s="8" t="n">
        <f aca="false">((E183-E182)/E182)*100</f>
        <v>2.48082909422217</v>
      </c>
      <c r="O183" s="8" t="n">
        <f aca="false">((F183-F182)/F182)*100</f>
        <v>2.81707060696159</v>
      </c>
      <c r="P183" s="8" t="n">
        <f aca="false">((G183-G182)/G182)*100</f>
        <v>0.406182602444291</v>
      </c>
      <c r="Q183" s="8" t="n">
        <f aca="false">((H183-H182)/H182)*100</f>
        <v>0.337007107127097</v>
      </c>
      <c r="S183" s="9"/>
      <c r="V183" s="9" t="n">
        <f aca="false">K177-$V$4</f>
        <v>2.02927781185468</v>
      </c>
      <c r="W183" s="9" t="n">
        <f aca="false">L177-$W$4</f>
        <v>0.818531703298375</v>
      </c>
      <c r="X183" s="9" t="n">
        <f aca="false">M177-$X$4</f>
        <v>3.01580207072328</v>
      </c>
      <c r="Y183" s="9" t="n">
        <f aca="false">N177-$Y$4</f>
        <v>0.126071239375527</v>
      </c>
      <c r="Z183" s="9" t="n">
        <f aca="false">O177-$Z$4</f>
        <v>4.17798704335777</v>
      </c>
      <c r="AA183" s="9" t="n">
        <f aca="false">P177-$AA$4</f>
        <v>1.31891104722765</v>
      </c>
      <c r="AB183" s="9" t="n">
        <f aca="false">Q177-$AB$4</f>
        <v>-1.69504397249187</v>
      </c>
    </row>
    <row r="184" customFormat="false" ht="15.75" hidden="false" customHeight="false" outlineLevel="0" collapsed="false">
      <c r="A184" s="7" t="n">
        <v>45558</v>
      </c>
      <c r="B184" s="1" t="n">
        <v>169.73</v>
      </c>
      <c r="C184" s="9" t="n">
        <v>4268.5</v>
      </c>
      <c r="D184" s="9" t="n">
        <v>3049.8</v>
      </c>
      <c r="E184" s="8" t="n">
        <v>2725.15</v>
      </c>
      <c r="F184" s="9" t="n">
        <v>1750.45</v>
      </c>
      <c r="G184" s="11" t="n">
        <v>1386</v>
      </c>
      <c r="H184" s="12" t="n">
        <v>0.587947682</v>
      </c>
      <c r="I184" s="12"/>
      <c r="J184" s="12"/>
      <c r="K184" s="8" t="n">
        <f aca="false">((B184-B183)/B183)*100</f>
        <v>1.60431008680035</v>
      </c>
      <c r="L184" s="8" t="n">
        <f aca="false">((C184-C183)/C183)*100</f>
        <v>-0.382739387150217</v>
      </c>
      <c r="M184" s="8" t="n">
        <f aca="false">((D184-D183)/D183)*100</f>
        <v>3.35327109138046</v>
      </c>
      <c r="N184" s="8" t="n">
        <f aca="false">((E184-E183)/E183)*100</f>
        <v>0.948306199181342</v>
      </c>
      <c r="O184" s="8" t="n">
        <f aca="false">((F184-F183)/F183)*100</f>
        <v>2.26084416532788</v>
      </c>
      <c r="P184" s="8" t="n">
        <f aca="false">((G184-G183)/G183)*100</f>
        <v>-0.762538932445501</v>
      </c>
      <c r="Q184" s="8" t="n">
        <f aca="false">((H184-H183)/H183)*100</f>
        <v>0.0918092100717743</v>
      </c>
      <c r="S184" s="9"/>
      <c r="V184" s="9" t="n">
        <f aca="false">K178-$V$4</f>
        <v>-0.0848837645938632</v>
      </c>
      <c r="W184" s="9" t="n">
        <f aca="false">L178-$W$4</f>
        <v>0.0708429698709054</v>
      </c>
      <c r="X184" s="9" t="n">
        <f aca="false">M178-$X$4</f>
        <v>-0.314445469397272</v>
      </c>
      <c r="Y184" s="9" t="n">
        <f aca="false">N178-$Y$4</f>
        <v>0.226931822493648</v>
      </c>
      <c r="Z184" s="9" t="n">
        <f aca="false">O178-$Z$4</f>
        <v>-0.938947592622947</v>
      </c>
      <c r="AA184" s="9" t="n">
        <f aca="false">P178-$AA$4</f>
        <v>-0.36926765217766</v>
      </c>
      <c r="AB184" s="9" t="n">
        <f aca="false">Q178-$AB$4</f>
        <v>4.36413080008662</v>
      </c>
    </row>
    <row r="185" customFormat="false" ht="15.75" hidden="false" customHeight="false" outlineLevel="0" collapsed="false">
      <c r="A185" s="7" t="n">
        <v>45559</v>
      </c>
      <c r="B185" s="1" t="n">
        <v>169.89</v>
      </c>
      <c r="C185" s="9" t="n">
        <v>4271.3</v>
      </c>
      <c r="D185" s="9" t="n">
        <v>3074.3</v>
      </c>
      <c r="E185" s="8" t="n">
        <v>2696.4</v>
      </c>
      <c r="F185" s="9" t="n">
        <v>1756.65</v>
      </c>
      <c r="G185" s="22" t="n">
        <v>1401.5</v>
      </c>
      <c r="H185" s="12" t="n">
        <v>0.585063894</v>
      </c>
      <c r="I185" s="12"/>
      <c r="J185" s="12"/>
      <c r="K185" s="8" t="n">
        <f aca="false">((B185-B184)/B184)*100</f>
        <v>0.0942673658162945</v>
      </c>
      <c r="L185" s="8" t="n">
        <f aca="false">((C185-C184)/C184)*100</f>
        <v>0.0655968138690449</v>
      </c>
      <c r="M185" s="8" t="n">
        <f aca="false">((D185-D184)/D184)*100</f>
        <v>0.803331365991213</v>
      </c>
      <c r="N185" s="8" t="n">
        <f aca="false">((E185-E184)/E184)*100</f>
        <v>-1.05498779883676</v>
      </c>
      <c r="O185" s="8" t="n">
        <f aca="false">((F185-F184)/F184)*100</f>
        <v>0.354194635665117</v>
      </c>
      <c r="P185" s="8" t="n">
        <f aca="false">((G185-G184)/G184)*100</f>
        <v>1.11832611832612</v>
      </c>
      <c r="Q185" s="8" t="n">
        <f aca="false">((H185-H184)/H184)*100</f>
        <v>-0.490483777432428</v>
      </c>
      <c r="S185" s="9"/>
      <c r="V185" s="9" t="n">
        <f aca="false">K179-$V$4</f>
        <v>-0.83552079975519</v>
      </c>
      <c r="W185" s="9" t="n">
        <f aca="false">L179-$W$4</f>
        <v>-0.244358786889841</v>
      </c>
      <c r="X185" s="9" t="n">
        <f aca="false">M179-$X$4</f>
        <v>0.419329051669043</v>
      </c>
      <c r="Y185" s="9" t="n">
        <f aca="false">N179-$Y$4</f>
        <v>0.805466014563088</v>
      </c>
      <c r="Z185" s="9" t="n">
        <f aca="false">O179-$Z$4</f>
        <v>-0.130839168922778</v>
      </c>
      <c r="AA185" s="9" t="n">
        <f aca="false">P179-$AA$4</f>
        <v>-0.0753050238965812</v>
      </c>
      <c r="AB185" s="9" t="n">
        <f aca="false">Q179-$AB$4</f>
        <v>0.840209587106908</v>
      </c>
    </row>
    <row r="186" customFormat="false" ht="15.75" hidden="false" customHeight="false" outlineLevel="0" collapsed="false">
      <c r="A186" s="7" t="n">
        <v>45560</v>
      </c>
      <c r="B186" s="1" t="n">
        <v>169.82</v>
      </c>
      <c r="C186" s="9" t="n">
        <v>4274.75</v>
      </c>
      <c r="D186" s="9" t="n">
        <v>3091.05</v>
      </c>
      <c r="E186" s="8" t="n">
        <v>2697.35</v>
      </c>
      <c r="F186" s="9" t="n">
        <v>1760.4</v>
      </c>
      <c r="G186" s="11" t="n">
        <v>1406.5</v>
      </c>
      <c r="H186" s="12" t="n">
        <v>0.591440852</v>
      </c>
      <c r="I186" s="12"/>
      <c r="J186" s="12"/>
      <c r="K186" s="8" t="n">
        <f aca="false">((B186-B185)/B185)*100</f>
        <v>-0.0412031314379853</v>
      </c>
      <c r="L186" s="8" t="n">
        <f aca="false">((C186-C185)/C185)*100</f>
        <v>0.0807716620232673</v>
      </c>
      <c r="M186" s="8" t="n">
        <f aca="false">((D186-D185)/D185)*100</f>
        <v>0.544839475652994</v>
      </c>
      <c r="N186" s="8" t="n">
        <f aca="false">((E186-E185)/E185)*100</f>
        <v>0.035232161400379</v>
      </c>
      <c r="O186" s="8" t="n">
        <f aca="false">((F186-F185)/F185)*100</f>
        <v>0.213474511143369</v>
      </c>
      <c r="P186" s="8" t="n">
        <f aca="false">((G186-G185)/G185)*100</f>
        <v>0.356760613628255</v>
      </c>
      <c r="Q186" s="8" t="n">
        <f aca="false">((H186-H185)/H185)*100</f>
        <v>1.08995924469062</v>
      </c>
      <c r="S186" s="9"/>
      <c r="V186" s="9" t="n">
        <f aca="false">K180-$V$4</f>
        <v>-0.806907850614808</v>
      </c>
      <c r="W186" s="9" t="n">
        <f aca="false">L180-$W$4</f>
        <v>-0.206012365618113</v>
      </c>
      <c r="X186" s="9" t="n">
        <f aca="false">M180-$X$4</f>
        <v>0.848274333925987</v>
      </c>
      <c r="Y186" s="9" t="n">
        <f aca="false">N180-$Y$4</f>
        <v>-0.0213637819811389</v>
      </c>
      <c r="Z186" s="9" t="n">
        <f aca="false">O180-$Z$4</f>
        <v>1.41609825951537</v>
      </c>
      <c r="AA186" s="9" t="n">
        <f aca="false">P180-$AA$4</f>
        <v>0.79728175146063</v>
      </c>
      <c r="AB186" s="9" t="n">
        <f aca="false">Q180-$AB$4</f>
        <v>1.85060659222177</v>
      </c>
    </row>
    <row r="187" customFormat="false" ht="15.75" hidden="false" customHeight="false" outlineLevel="0" collapsed="false">
      <c r="A187" s="7" t="n">
        <v>45561</v>
      </c>
      <c r="B187" s="1" t="n">
        <v>171.36</v>
      </c>
      <c r="C187" s="9" t="n">
        <v>4292.5</v>
      </c>
      <c r="D187" s="9" t="n">
        <v>3181.1</v>
      </c>
      <c r="E187" s="8" t="n">
        <v>2755.5</v>
      </c>
      <c r="F187" s="9" t="n">
        <v>1771.1</v>
      </c>
      <c r="G187" s="11" t="n">
        <v>1411.65</v>
      </c>
      <c r="H187" s="12" t="n">
        <v>0.583894968</v>
      </c>
      <c r="I187" s="12"/>
      <c r="J187" s="12"/>
      <c r="K187" s="8" t="n">
        <f aca="false">((B187-B186)/B186)*100</f>
        <v>0.906842539159122</v>
      </c>
      <c r="L187" s="8" t="n">
        <f aca="false">((C187-C186)/C186)*100</f>
        <v>0.415228960757939</v>
      </c>
      <c r="M187" s="8" t="n">
        <f aca="false">((D187-D186)/D186)*100</f>
        <v>2.91324954303553</v>
      </c>
      <c r="N187" s="8" t="n">
        <f aca="false">((E187-E186)/E186)*100</f>
        <v>2.15581960071923</v>
      </c>
      <c r="O187" s="8" t="n">
        <f aca="false">((F187-F186)/F186)*100</f>
        <v>0.607816405362407</v>
      </c>
      <c r="P187" s="8" t="n">
        <f aca="false">((G187-G186)/G186)*100</f>
        <v>0.366157127621763</v>
      </c>
      <c r="Q187" s="8" t="n">
        <f aca="false">((H187-H186)/H186)*100</f>
        <v>-1.27584761425983</v>
      </c>
      <c r="S187" s="9"/>
      <c r="V187" s="9" t="n">
        <f aca="false">K181-$V$4</f>
        <v>-1.25262234120604</v>
      </c>
      <c r="W187" s="9" t="n">
        <f aca="false">L181-$W$4</f>
        <v>-3.57761907880998</v>
      </c>
      <c r="X187" s="9" t="n">
        <f aca="false">M181-$X$4</f>
        <v>0.488406452270324</v>
      </c>
      <c r="Y187" s="9" t="n">
        <f aca="false">N181-$Y$4</f>
        <v>2.06148498604395</v>
      </c>
      <c r="Z187" s="9" t="n">
        <f aca="false">O181-$Z$4</f>
        <v>-0.604237867066757</v>
      </c>
      <c r="AA187" s="9" t="n">
        <f aca="false">P181-$AA$4</f>
        <v>-0.415242121338435</v>
      </c>
      <c r="AB187" s="9" t="n">
        <f aca="false">Q181-$AB$4</f>
        <v>-0.767434038578071</v>
      </c>
    </row>
    <row r="188" customFormat="false" ht="15.75" hidden="false" customHeight="false" outlineLevel="0" collapsed="false">
      <c r="A188" s="7" t="n">
        <v>45562</v>
      </c>
      <c r="B188" s="1" t="n">
        <v>180.01</v>
      </c>
      <c r="C188" s="9" t="n">
        <v>4308.7</v>
      </c>
      <c r="D188" s="9" t="n">
        <v>3183.65</v>
      </c>
      <c r="E188" s="8" t="n">
        <v>2745.7</v>
      </c>
      <c r="F188" s="9" t="n">
        <v>1734.6</v>
      </c>
      <c r="G188" s="11" t="n">
        <v>1404</v>
      </c>
      <c r="H188" s="12" t="n">
        <v>0.590001948</v>
      </c>
      <c r="I188" s="12"/>
      <c r="J188" s="12"/>
      <c r="K188" s="8" t="n">
        <f aca="false">((B188-B187)/B187)*100</f>
        <v>5.04785247432305</v>
      </c>
      <c r="L188" s="8" t="n">
        <f aca="false">((C188-C187)/C187)*100</f>
        <v>0.377402446126961</v>
      </c>
      <c r="M188" s="8" t="n">
        <f aca="false">((D188-D187)/D187)*100</f>
        <v>0.080160950614573</v>
      </c>
      <c r="N188" s="8" t="n">
        <f aca="false">((E188-E187)/E187)*100</f>
        <v>-0.355652331700243</v>
      </c>
      <c r="O188" s="8" t="n">
        <f aca="false">((F188-F187)/F187)*100</f>
        <v>-2.06086612839478</v>
      </c>
      <c r="P188" s="8" t="n">
        <f aca="false">((G188-G187)/G187)*100</f>
        <v>-0.541919030921269</v>
      </c>
      <c r="Q188" s="8" t="n">
        <f aca="false">((H188-H187)/H187)*100</f>
        <v>1.04590385851726</v>
      </c>
      <c r="S188" s="9"/>
      <c r="V188" s="9" t="n">
        <f aca="false">K182-$V$4</f>
        <v>-2.06882162281575</v>
      </c>
      <c r="W188" s="9" t="n">
        <f aca="false">L182-$W$4</f>
        <v>-1.18806279672124</v>
      </c>
      <c r="X188" s="9" t="n">
        <f aca="false">M182-$X$4</f>
        <v>-0.629800602168561</v>
      </c>
      <c r="Y188" s="9" t="n">
        <f aca="false">N182-$Y$4</f>
        <v>1.51306000782136</v>
      </c>
      <c r="Z188" s="9" t="n">
        <f aca="false">O182-$Z$4</f>
        <v>0.409222958448017</v>
      </c>
      <c r="AA188" s="9" t="n">
        <f aca="false">P182-$AA$4</f>
        <v>1.25680395169492</v>
      </c>
      <c r="AB188" s="9" t="n">
        <f aca="false">Q182-$AB$4</f>
        <v>-0.602940039183598</v>
      </c>
    </row>
    <row r="189" customFormat="false" ht="15.75" hidden="false" customHeight="false" outlineLevel="0" collapsed="false">
      <c r="A189" s="7" t="n">
        <v>45565</v>
      </c>
      <c r="B189" s="1" t="n">
        <v>180.15</v>
      </c>
      <c r="C189" s="9" t="n">
        <v>4268.5</v>
      </c>
      <c r="D189" s="9" t="n">
        <v>3094.9</v>
      </c>
      <c r="E189" s="8" t="n">
        <v>2689.95</v>
      </c>
      <c r="F189" s="9" t="n">
        <v>1709.55</v>
      </c>
      <c r="G189" s="11" t="n">
        <v>1407.65</v>
      </c>
      <c r="H189" s="12" t="n">
        <v>0.642591928</v>
      </c>
      <c r="I189" s="12"/>
      <c r="J189" s="12"/>
      <c r="K189" s="8" t="n">
        <f aca="false">((B189-B188)/B188)*100</f>
        <v>0.0777734570301732</v>
      </c>
      <c r="L189" s="8" t="n">
        <f aca="false">((C189-C188)/C188)*100</f>
        <v>-0.932996031285534</v>
      </c>
      <c r="M189" s="8" t="n">
        <f aca="false">((D189-D188)/D188)*100</f>
        <v>-2.78768080662133</v>
      </c>
      <c r="N189" s="8" t="n">
        <f aca="false">((E189-E188)/E188)*100</f>
        <v>-2.0304476089886</v>
      </c>
      <c r="O189" s="8" t="n">
        <f aca="false">((F189-F188)/F188)*100</f>
        <v>-1.44413697682463</v>
      </c>
      <c r="P189" s="8" t="n">
        <f aca="false">((G189-G188)/G188)*100</f>
        <v>0.259971509971516</v>
      </c>
      <c r="Q189" s="8" t="n">
        <f aca="false">((H189-H188)/H188)*100</f>
        <v>8.91352650245825</v>
      </c>
      <c r="S189" s="9"/>
      <c r="V189" s="9" t="n">
        <f aca="false">K183-$V$4</f>
        <v>1.17340451677326</v>
      </c>
      <c r="W189" s="9" t="n">
        <f aca="false">L183-$W$4</f>
        <v>-0.299481665894421</v>
      </c>
      <c r="X189" s="9" t="n">
        <f aca="false">M183-$X$4</f>
        <v>5.23290646170329</v>
      </c>
      <c r="Y189" s="9" t="n">
        <f aca="false">N183-$Y$4</f>
        <v>2.56732536872048</v>
      </c>
      <c r="Z189" s="9" t="n">
        <f aca="false">O183-$Z$4</f>
        <v>2.6250487772049</v>
      </c>
      <c r="AA189" s="9" t="n">
        <f aca="false">P183-$AA$4</f>
        <v>0.425723089801508</v>
      </c>
      <c r="AB189" s="9" t="n">
        <f aca="false">Q183-$AB$4</f>
        <v>-0.342250609276052</v>
      </c>
    </row>
    <row r="190" customFormat="false" ht="15.75" hidden="false" customHeight="false" outlineLevel="0" collapsed="false">
      <c r="A190" s="7" t="n">
        <v>45566</v>
      </c>
      <c r="B190" s="1" t="n">
        <v>179.06</v>
      </c>
      <c r="C190" s="9" t="n">
        <v>4287.9</v>
      </c>
      <c r="D190" s="9" t="n">
        <v>3165.5</v>
      </c>
      <c r="E190" s="8" t="n">
        <v>2707.05</v>
      </c>
      <c r="F190" s="9" t="n">
        <v>1698.7</v>
      </c>
      <c r="G190" s="11" t="n">
        <v>1441</v>
      </c>
      <c r="H190" s="12" t="n">
        <v>0.611933938</v>
      </c>
      <c r="I190" s="12"/>
      <c r="J190" s="12"/>
      <c r="K190" s="8" t="n">
        <f aca="false">((B190-B189)/B189)*100</f>
        <v>-0.605051346100474</v>
      </c>
      <c r="L190" s="8" t="n">
        <f aca="false">((C190-C189)/C189)*100</f>
        <v>0.454492210378345</v>
      </c>
      <c r="M190" s="8" t="n">
        <f aca="false">((D190-D189)/D189)*100</f>
        <v>2.28117225112281</v>
      </c>
      <c r="N190" s="8" t="n">
        <f aca="false">((E190-E189)/E189)*100</f>
        <v>0.635699548318756</v>
      </c>
      <c r="O190" s="8" t="n">
        <f aca="false">((F190-F189)/F189)*100</f>
        <v>-0.634669942382493</v>
      </c>
      <c r="P190" s="8" t="n">
        <f aca="false">((G190-G189)/G189)*100</f>
        <v>2.36919688843107</v>
      </c>
      <c r="Q190" s="8" t="n">
        <f aca="false">((H190-H189)/H189)*100</f>
        <v>-4.77098896891217</v>
      </c>
      <c r="S190" s="9"/>
      <c r="V190" s="9" t="n">
        <f aca="false">K184-$V$4</f>
        <v>1.55982803062158</v>
      </c>
      <c r="W190" s="9" t="n">
        <f aca="false">L184-$W$4</f>
        <v>-0.420358687903756</v>
      </c>
      <c r="X190" s="9" t="n">
        <f aca="false">M184-$X$4</f>
        <v>3.10449748159135</v>
      </c>
      <c r="Y190" s="9" t="n">
        <f aca="false">N184-$Y$4</f>
        <v>1.03480247367965</v>
      </c>
      <c r="Z190" s="9" t="n">
        <f aca="false">O184-$Z$4</f>
        <v>2.06882233557119</v>
      </c>
      <c r="AA190" s="9" t="n">
        <f aca="false">P184-$AA$4</f>
        <v>-0.742998445088284</v>
      </c>
      <c r="AB190" s="9" t="n">
        <f aca="false">Q184-$AB$4</f>
        <v>-0.587448506331375</v>
      </c>
    </row>
    <row r="191" customFormat="false" ht="15.75" hidden="false" customHeight="false" outlineLevel="0" collapsed="false">
      <c r="A191" s="7" t="n">
        <v>45568</v>
      </c>
      <c r="B191" s="1" t="n">
        <v>171.33</v>
      </c>
      <c r="C191" s="9" t="n">
        <v>4232.75</v>
      </c>
      <c r="D191" s="9" t="n">
        <v>3129.85</v>
      </c>
      <c r="E191" s="8" t="n">
        <v>2674.85</v>
      </c>
      <c r="F191" s="9" t="n">
        <v>1673.45</v>
      </c>
      <c r="G191" s="11" t="n">
        <v>1478.5</v>
      </c>
      <c r="H191" s="12" t="n">
        <v>0.538831067</v>
      </c>
      <c r="I191" s="12"/>
      <c r="J191" s="12"/>
      <c r="K191" s="8" t="n">
        <f aca="false">((B191-B190)/B190)*100</f>
        <v>-4.31698871886518</v>
      </c>
      <c r="L191" s="8" t="n">
        <f aca="false">((C191-C190)/C190)*100</f>
        <v>-1.28617738286806</v>
      </c>
      <c r="M191" s="8" t="n">
        <f aca="false">((D191-D190)/D190)*100</f>
        <v>-1.12620439109146</v>
      </c>
      <c r="N191" s="8" t="n">
        <f aca="false">((E191-E190)/E190)*100</f>
        <v>-1.18948671062597</v>
      </c>
      <c r="O191" s="8" t="n">
        <f aca="false">((F191-F190)/F190)*100</f>
        <v>-1.48643080002355</v>
      </c>
      <c r="P191" s="8" t="n">
        <f aca="false">((G191-G190)/G190)*100</f>
        <v>2.60235947258848</v>
      </c>
      <c r="Q191" s="8" t="n">
        <f aca="false">((H191-H190)/H190)*100</f>
        <v>-11.9462030883471</v>
      </c>
      <c r="S191" s="9"/>
      <c r="V191" s="9" t="n">
        <f aca="false">K185-$V$4</f>
        <v>0.049785309637526</v>
      </c>
      <c r="W191" s="9" t="n">
        <f aca="false">L185-$W$4</f>
        <v>0.0279775131155054</v>
      </c>
      <c r="X191" s="9" t="n">
        <f aca="false">M185-$X$4</f>
        <v>0.554557756202105</v>
      </c>
      <c r="Y191" s="9" t="n">
        <f aca="false">N185-$Y$4</f>
        <v>-0.968491524338453</v>
      </c>
      <c r="Z191" s="9" t="n">
        <f aca="false">O185-$Z$4</f>
        <v>0.162172805908419</v>
      </c>
      <c r="AA191" s="9" t="n">
        <f aca="false">P185-$AA$4</f>
        <v>1.13786660568334</v>
      </c>
      <c r="AB191" s="9" t="n">
        <f aca="false">Q185-$AB$4</f>
        <v>-1.16974149383558</v>
      </c>
    </row>
    <row r="192" customFormat="false" ht="15.75" hidden="false" customHeight="false" outlineLevel="0" collapsed="false">
      <c r="A192" s="7" t="n">
        <v>45569</v>
      </c>
      <c r="B192" s="1" t="n">
        <v>168.65</v>
      </c>
      <c r="C192" s="9" t="n">
        <v>4252.25</v>
      </c>
      <c r="D192" s="9" t="n">
        <v>3017.45</v>
      </c>
      <c r="E192" s="8" t="n">
        <v>2598.15</v>
      </c>
      <c r="F192" s="9" t="n">
        <v>1640.9</v>
      </c>
      <c r="G192" s="11" t="n">
        <v>1497.5</v>
      </c>
      <c r="H192" s="12" t="n">
        <v>0.52165909</v>
      </c>
      <c r="I192" s="12"/>
      <c r="J192" s="12"/>
      <c r="K192" s="8" t="n">
        <f aca="false">((B192-B191)/B191)*100</f>
        <v>-1.56423276717446</v>
      </c>
      <c r="L192" s="8" t="n">
        <f aca="false">((C192-C191)/C191)*100</f>
        <v>0.460693402634221</v>
      </c>
      <c r="M192" s="8" t="n">
        <f aca="false">((D192-D191)/D191)*100</f>
        <v>-3.59122641660144</v>
      </c>
      <c r="N192" s="8" t="n">
        <f aca="false">((E192-E191)/E191)*100</f>
        <v>-2.86745051124361</v>
      </c>
      <c r="O192" s="8" t="n">
        <f aca="false">((F192-F191)/F191)*100</f>
        <v>-1.94508351011383</v>
      </c>
      <c r="P192" s="8" t="n">
        <f aca="false">((G192-G191)/G191)*100</f>
        <v>1.28508623605005</v>
      </c>
      <c r="Q192" s="8" t="n">
        <f aca="false">((H192-H191)/H191)*100</f>
        <v>-3.1868943815001</v>
      </c>
      <c r="S192" s="9"/>
      <c r="V192" s="9" t="n">
        <f aca="false">K186-$V$4</f>
        <v>-0.0856851876167537</v>
      </c>
      <c r="W192" s="9" t="n">
        <f aca="false">L186-$W$4</f>
        <v>0.0431523612697279</v>
      </c>
      <c r="X192" s="9" t="n">
        <f aca="false">M186-$X$4</f>
        <v>0.296065865863887</v>
      </c>
      <c r="Y192" s="9" t="n">
        <f aca="false">N186-$Y$4</f>
        <v>0.121728435898688</v>
      </c>
      <c r="Z192" s="9" t="n">
        <f aca="false">O186-$Z$4</f>
        <v>0.0214526813866716</v>
      </c>
      <c r="AA192" s="9" t="n">
        <f aca="false">P186-$AA$4</f>
        <v>0.376301100985472</v>
      </c>
      <c r="AB192" s="9" t="n">
        <f aca="false">Q186-$AB$4</f>
        <v>0.410701528287472</v>
      </c>
    </row>
    <row r="193" customFormat="false" ht="15.75" hidden="false" customHeight="false" outlineLevel="0" collapsed="false">
      <c r="A193" s="7" t="n">
        <v>45572</v>
      </c>
      <c r="B193" s="1" t="n">
        <v>162.74</v>
      </c>
      <c r="C193" s="9" t="n">
        <v>4272.85</v>
      </c>
      <c r="D193" s="9" t="n">
        <v>3060.2</v>
      </c>
      <c r="E193" s="8" t="n">
        <v>2573.85</v>
      </c>
      <c r="F193" s="9" t="n">
        <v>1662.05</v>
      </c>
      <c r="G193" s="11" t="n">
        <v>1510</v>
      </c>
      <c r="H193" s="12" t="n">
        <v>0.533179984</v>
      </c>
      <c r="I193" s="12"/>
      <c r="J193" s="12"/>
      <c r="K193" s="8" t="n">
        <f aca="false">((B193-B192)/B192)*100</f>
        <v>-3.50429884375926</v>
      </c>
      <c r="L193" s="8" t="n">
        <f aca="false">((C193-C192)/C192)*100</f>
        <v>0.484449409136348</v>
      </c>
      <c r="M193" s="8" t="n">
        <f aca="false">((D193-D192)/D192)*100</f>
        <v>1.41675918407927</v>
      </c>
      <c r="N193" s="8" t="n">
        <f aca="false">((E193-E192)/E192)*100</f>
        <v>-0.935280872928822</v>
      </c>
      <c r="O193" s="8" t="n">
        <f aca="false">((F193-F192)/F192)*100</f>
        <v>1.28892680845876</v>
      </c>
      <c r="P193" s="8" t="n">
        <f aca="false">((G193-G192)/G192)*100</f>
        <v>0.834724540901503</v>
      </c>
      <c r="Q193" s="8" t="n">
        <f aca="false">((H193-H192)/H192)*100</f>
        <v>2.20851015938398</v>
      </c>
      <c r="S193" s="9"/>
      <c r="V193" s="9" t="n">
        <f aca="false">K187-$V$4</f>
        <v>0.862360482980353</v>
      </c>
      <c r="W193" s="9" t="n">
        <f aca="false">L187-$W$4</f>
        <v>0.3776096600044</v>
      </c>
      <c r="X193" s="9" t="n">
        <f aca="false">M187-$X$4</f>
        <v>2.66447593324642</v>
      </c>
      <c r="Y193" s="9" t="n">
        <f aca="false">N187-$Y$4</f>
        <v>2.24231587521754</v>
      </c>
      <c r="Z193" s="9" t="n">
        <f aca="false">O187-$Z$4</f>
        <v>0.415794575605709</v>
      </c>
      <c r="AA193" s="9" t="n">
        <f aca="false">P187-$AA$4</f>
        <v>0.385697614978979</v>
      </c>
      <c r="AB193" s="9" t="n">
        <f aca="false">Q187-$AB$4</f>
        <v>-1.95510533066298</v>
      </c>
    </row>
    <row r="194" customFormat="false" ht="15.75" hidden="false" customHeight="false" outlineLevel="0" collapsed="false">
      <c r="A194" s="7" t="n">
        <v>45573</v>
      </c>
      <c r="B194" s="1" t="n">
        <v>164.24</v>
      </c>
      <c r="C194" s="9" t="n">
        <v>4253.25</v>
      </c>
      <c r="D194" s="9" t="n">
        <v>3165.85</v>
      </c>
      <c r="E194" s="8" t="n">
        <v>2581.75</v>
      </c>
      <c r="F194" s="9" t="n">
        <v>1657.45</v>
      </c>
      <c r="G194" s="11" t="n">
        <v>1517.5</v>
      </c>
      <c r="H194" s="12" t="n">
        <v>0.529816499</v>
      </c>
      <c r="I194" s="12"/>
      <c r="J194" s="12"/>
      <c r="K194" s="8" t="n">
        <f aca="false">((B194-B193)/B193)*100</f>
        <v>0.921715620007374</v>
      </c>
      <c r="L194" s="8" t="n">
        <f aca="false">((C194-C193)/C193)*100</f>
        <v>-0.458710228535997</v>
      </c>
      <c r="M194" s="8" t="n">
        <f aca="false">((D194-D193)/D193)*100</f>
        <v>3.45238873276257</v>
      </c>
      <c r="N194" s="8" t="n">
        <f aca="false">((E194-E193)/E193)*100</f>
        <v>0.306933193465046</v>
      </c>
      <c r="O194" s="8" t="n">
        <f aca="false">((F194-F193)/F193)*100</f>
        <v>-0.276766643602774</v>
      </c>
      <c r="P194" s="8" t="n">
        <f aca="false">((G194-G193)/G193)*100</f>
        <v>0.496688741721854</v>
      </c>
      <c r="Q194" s="8" t="n">
        <f aca="false">((H194-H193)/H193)*100</f>
        <v>-0.630834821436197</v>
      </c>
      <c r="S194" s="9"/>
      <c r="V194" s="9" t="n">
        <f aca="false">K188-$V$4</f>
        <v>5.00337041814428</v>
      </c>
      <c r="W194" s="9" t="n">
        <f aca="false">L188-$W$4</f>
        <v>0.339783145373422</v>
      </c>
      <c r="X194" s="9" t="n">
        <f aca="false">M188-$X$4</f>
        <v>-0.168612659174534</v>
      </c>
      <c r="Y194" s="9" t="n">
        <f aca="false">N188-$Y$4</f>
        <v>-0.269156057201934</v>
      </c>
      <c r="Z194" s="9" t="n">
        <f aca="false">O188-$Z$4</f>
        <v>-2.25288795815148</v>
      </c>
      <c r="AA194" s="9" t="n">
        <f aca="false">P188-$AA$4</f>
        <v>-0.522378543564052</v>
      </c>
      <c r="AB194" s="9" t="n">
        <f aca="false">Q188-$AB$4</f>
        <v>0.366646142114107</v>
      </c>
    </row>
    <row r="195" customFormat="false" ht="15.75" hidden="false" customHeight="false" outlineLevel="0" collapsed="false">
      <c r="A195" s="7" t="n">
        <v>45574</v>
      </c>
      <c r="B195" s="1" t="n">
        <v>164.74</v>
      </c>
      <c r="C195" s="9" t="n">
        <v>4252.95</v>
      </c>
      <c r="D195" s="9" t="n">
        <v>3153</v>
      </c>
      <c r="E195" s="8" t="n">
        <v>2516</v>
      </c>
      <c r="F195" s="9" t="n">
        <v>1678.1</v>
      </c>
      <c r="G195" s="11" t="n">
        <v>1491</v>
      </c>
      <c r="H195" s="12" t="n">
        <v>0.530463286</v>
      </c>
      <c r="I195" s="12"/>
      <c r="J195" s="12"/>
      <c r="K195" s="8" t="n">
        <f aca="false">((B195-B194)/B194)*100</f>
        <v>0.304432537749635</v>
      </c>
      <c r="L195" s="8" t="n">
        <f aca="false">((C195-C194)/C194)*100</f>
        <v>-0.00705342973021059</v>
      </c>
      <c r="M195" s="8" t="n">
        <f aca="false">((D195-D194)/D194)*100</f>
        <v>-0.405894151649633</v>
      </c>
      <c r="N195" s="8" t="n">
        <f aca="false">((E195-E194)/E194)*100</f>
        <v>-2.54672218456473</v>
      </c>
      <c r="O195" s="8" t="n">
        <f aca="false">((F195-F194)/F194)*100</f>
        <v>1.24588977043047</v>
      </c>
      <c r="P195" s="8" t="n">
        <f aca="false">((G195-G194)/G194)*100</f>
        <v>-1.74629324546952</v>
      </c>
      <c r="Q195" s="8" t="n">
        <f aca="false">((H195-H194)/H194)*100</f>
        <v>0.122077549721603</v>
      </c>
      <c r="S195" s="9"/>
      <c r="V195" s="9" t="n">
        <f aca="false">K189-$V$4</f>
        <v>0.0332914008514048</v>
      </c>
      <c r="W195" s="9" t="n">
        <f aca="false">L189-$W$4</f>
        <v>-0.970615332039074</v>
      </c>
      <c r="X195" s="9" t="n">
        <f aca="false">M189-$X$4</f>
        <v>-3.03645441641044</v>
      </c>
      <c r="Y195" s="9" t="n">
        <f aca="false">N189-$Y$4</f>
        <v>-1.94395133449029</v>
      </c>
      <c r="Z195" s="9" t="n">
        <f aca="false">O189-$Z$4</f>
        <v>-1.63615880658132</v>
      </c>
      <c r="AA195" s="9" t="n">
        <f aca="false">P189-$AA$4</f>
        <v>0.279511997328733</v>
      </c>
      <c r="AB195" s="9" t="n">
        <f aca="false">Q189-$AB$4</f>
        <v>8.2342687860551</v>
      </c>
    </row>
    <row r="196" customFormat="false" ht="15.75" hidden="false" customHeight="false" outlineLevel="0" collapsed="false">
      <c r="A196" s="7" t="n">
        <v>45575</v>
      </c>
      <c r="B196" s="1" t="n">
        <v>164.39</v>
      </c>
      <c r="C196" s="9" t="n">
        <v>4227.4</v>
      </c>
      <c r="D196" s="9" t="n">
        <v>3194.3</v>
      </c>
      <c r="E196" s="8" t="n">
        <v>2512.45</v>
      </c>
      <c r="F196" s="9" t="n">
        <v>1678.1</v>
      </c>
      <c r="G196" s="11" t="n">
        <v>1495</v>
      </c>
      <c r="H196" s="12" t="n">
        <v>0.52415868</v>
      </c>
      <c r="I196" s="12"/>
      <c r="J196" s="12"/>
      <c r="K196" s="8" t="n">
        <f aca="false">((B196-B195)/B195)*100</f>
        <v>-0.212455991258967</v>
      </c>
      <c r="L196" s="8" t="n">
        <f aca="false">((C196-C195)/C195)*100</f>
        <v>-0.600759472836506</v>
      </c>
      <c r="M196" s="8" t="n">
        <f aca="false">((D196-D195)/D195)*100</f>
        <v>1.30986362194736</v>
      </c>
      <c r="N196" s="8" t="n">
        <f aca="false">((E196-E195)/E195)*100</f>
        <v>-0.141096979332281</v>
      </c>
      <c r="O196" s="8" t="n">
        <f aca="false">((F196-F195)/F195)*100</f>
        <v>0</v>
      </c>
      <c r="P196" s="8" t="n">
        <f aca="false">((G196-G195)/G195)*100</f>
        <v>0.268276324614353</v>
      </c>
      <c r="Q196" s="8" t="n">
        <f aca="false">((H196-H195)/H195)*100</f>
        <v>-1.18850939667105</v>
      </c>
      <c r="S196" s="9"/>
      <c r="V196" s="9" t="n">
        <f aca="false">K190-$V$4</f>
        <v>-0.649533402279242</v>
      </c>
      <c r="W196" s="9" t="n">
        <f aca="false">L190-$W$4</f>
        <v>0.416872909624805</v>
      </c>
      <c r="X196" s="9" t="n">
        <f aca="false">M190-$X$4</f>
        <v>2.0323986413337</v>
      </c>
      <c r="Y196" s="9" t="n">
        <f aca="false">N190-$Y$4</f>
        <v>0.722195822817064</v>
      </c>
      <c r="Z196" s="9" t="n">
        <f aca="false">O190-$Z$4</f>
        <v>-0.826691772139191</v>
      </c>
      <c r="AA196" s="9" t="n">
        <f aca="false">P190-$AA$4</f>
        <v>2.38873737578828</v>
      </c>
      <c r="AB196" s="9" t="n">
        <f aca="false">Q190-$AB$4</f>
        <v>-5.45024668531532</v>
      </c>
    </row>
    <row r="197" customFormat="false" ht="15.75" hidden="false" customHeight="false" outlineLevel="0" collapsed="false">
      <c r="A197" s="7" t="n">
        <v>45576</v>
      </c>
      <c r="B197" s="1" t="n">
        <v>163.15</v>
      </c>
      <c r="C197" s="9" t="n">
        <v>4149.2</v>
      </c>
      <c r="D197" s="9" t="n">
        <v>3134.35</v>
      </c>
      <c r="E197" s="8" t="n">
        <v>2511.8</v>
      </c>
      <c r="F197" s="9" t="n">
        <v>1687.4</v>
      </c>
      <c r="G197" s="11" t="n">
        <v>1471.5</v>
      </c>
      <c r="H197" s="12" t="n">
        <v>0.529665174</v>
      </c>
      <c r="I197" s="12"/>
      <c r="J197" s="12"/>
      <c r="K197" s="8" t="n">
        <f aca="false">((B197-B196)/B196)*100</f>
        <v>-0.754303789768222</v>
      </c>
      <c r="L197" s="8" t="n">
        <f aca="false">((C197-C196)/C196)*100</f>
        <v>-1.84983677910772</v>
      </c>
      <c r="M197" s="8" t="n">
        <f aca="false">((D197-D196)/D196)*100</f>
        <v>-1.87678051529287</v>
      </c>
      <c r="N197" s="8" t="n">
        <f aca="false">((E197-E196)/E196)*100</f>
        <v>-0.025871161615142</v>
      </c>
      <c r="O197" s="8" t="n">
        <f aca="false">((F197-F196)/F196)*100</f>
        <v>0.55419820034564</v>
      </c>
      <c r="P197" s="8" t="n">
        <f aca="false">((G197-G196)/G196)*100</f>
        <v>-1.57190635451505</v>
      </c>
      <c r="Q197" s="8" t="n">
        <f aca="false">((H197-H196)/H196)*100</f>
        <v>1.05053950456378</v>
      </c>
      <c r="S197" s="9"/>
      <c r="V197" s="9" t="n">
        <f aca="false">K191-$V$4</f>
        <v>-4.36147077504395</v>
      </c>
      <c r="W197" s="9" t="n">
        <f aca="false">L191-$W$4</f>
        <v>-1.3237966836216</v>
      </c>
      <c r="X197" s="9" t="n">
        <f aca="false">M191-$X$4</f>
        <v>-1.37497800088057</v>
      </c>
      <c r="Y197" s="9" t="n">
        <f aca="false">N191-$Y$4</f>
        <v>-1.10299043612766</v>
      </c>
      <c r="Z197" s="9" t="n">
        <f aca="false">O191-$Z$4</f>
        <v>-1.67845262978025</v>
      </c>
      <c r="AA197" s="9" t="n">
        <f aca="false">P191-$AA$4</f>
        <v>2.6218999599457</v>
      </c>
      <c r="AB197" s="9" t="n">
        <f aca="false">Q191-$AB$4</f>
        <v>-12.6254608047502</v>
      </c>
    </row>
    <row r="198" customFormat="false" ht="15.75" hidden="false" customHeight="false" outlineLevel="0" collapsed="false">
      <c r="A198" s="7" t="n">
        <v>45579</v>
      </c>
      <c r="B198" s="1" t="n">
        <v>165.47</v>
      </c>
      <c r="C198" s="9" t="n">
        <v>4136.65</v>
      </c>
      <c r="D198" s="9" t="n">
        <v>3154.9</v>
      </c>
      <c r="E198" s="8" t="n">
        <v>2502.05</v>
      </c>
      <c r="F198" s="9" t="n">
        <v>1695.6</v>
      </c>
      <c r="G198" s="11" t="n">
        <v>1498.5</v>
      </c>
      <c r="H198" s="12" t="n">
        <v>0.531680796</v>
      </c>
      <c r="I198" s="12"/>
      <c r="J198" s="12"/>
      <c r="K198" s="8" t="n">
        <f aca="false">((B198-B197)/B197)*100</f>
        <v>1.42200429053018</v>
      </c>
      <c r="L198" s="8" t="n">
        <f aca="false">((C198-C197)/C197)*100</f>
        <v>-0.302467945628077</v>
      </c>
      <c r="M198" s="8" t="n">
        <f aca="false">((D198-D197)/D197)*100</f>
        <v>0.655638330116298</v>
      </c>
      <c r="N198" s="8" t="n">
        <f aca="false">((E198-E197)/E197)*100</f>
        <v>-0.38816784775858</v>
      </c>
      <c r="O198" s="8" t="n">
        <f aca="false">((F198-F197)/F197)*100</f>
        <v>0.485954723242848</v>
      </c>
      <c r="P198" s="8" t="n">
        <f aca="false">((G198-G197)/G197)*100</f>
        <v>1.8348623853211</v>
      </c>
      <c r="Q198" s="8" t="n">
        <f aca="false">((H198-H197)/H197)*100</f>
        <v>0.380546446876634</v>
      </c>
      <c r="S198" s="9"/>
      <c r="V198" s="9" t="n">
        <f aca="false">K192-$V$4</f>
        <v>-1.60871482335323</v>
      </c>
      <c r="W198" s="9" t="n">
        <f aca="false">L192-$W$4</f>
        <v>0.423074101880682</v>
      </c>
      <c r="X198" s="9" t="n">
        <f aca="false">M192-$X$4</f>
        <v>-3.84000002639054</v>
      </c>
      <c r="Y198" s="9" t="n">
        <f aca="false">N192-$Y$4</f>
        <v>-2.78095423674531</v>
      </c>
      <c r="Z198" s="9" t="n">
        <f aca="false">O192-$Z$4</f>
        <v>-2.13710533987053</v>
      </c>
      <c r="AA198" s="9" t="n">
        <f aca="false">P192-$AA$4</f>
        <v>1.30462672340727</v>
      </c>
      <c r="AB198" s="9" t="n">
        <f aca="false">Q192-$AB$4</f>
        <v>-3.86615209790325</v>
      </c>
    </row>
    <row r="199" customFormat="false" ht="15.75" hidden="false" customHeight="false" outlineLevel="0" collapsed="false">
      <c r="A199" s="7" t="n">
        <v>45580</v>
      </c>
      <c r="B199" s="1" t="n">
        <v>167.93</v>
      </c>
      <c r="C199" s="9" t="n">
        <v>4116.8</v>
      </c>
      <c r="D199" s="9" t="n">
        <v>3155.8</v>
      </c>
      <c r="E199" s="8" t="n">
        <v>2484.25</v>
      </c>
      <c r="F199" s="9" t="n">
        <v>1717.25</v>
      </c>
      <c r="G199" s="11" t="n">
        <v>1481</v>
      </c>
      <c r="H199" s="12" t="n">
        <v>0.547600997</v>
      </c>
      <c r="I199" s="12"/>
      <c r="J199" s="12"/>
      <c r="K199" s="8" t="n">
        <f aca="false">((B199-B198)/B198)*100</f>
        <v>1.4866743216293</v>
      </c>
      <c r="L199" s="8" t="n">
        <f aca="false">((C199-C198)/C198)*100</f>
        <v>-0.479856889028549</v>
      </c>
      <c r="M199" s="8" t="n">
        <f aca="false">((D199-D198)/D198)*100</f>
        <v>0.0285270531554119</v>
      </c>
      <c r="N199" s="8" t="n">
        <f aca="false">((E199-E198)/E198)*100</f>
        <v>-0.711416638356555</v>
      </c>
      <c r="O199" s="8" t="n">
        <f aca="false">((F199-F198)/F198)*100</f>
        <v>1.27683415899977</v>
      </c>
      <c r="P199" s="8" t="n">
        <f aca="false">((G199-G198)/G198)*100</f>
        <v>-1.16783450116783</v>
      </c>
      <c r="Q199" s="8" t="n">
        <f aca="false">((H199-H198)/H198)*100</f>
        <v>2.99431559683416</v>
      </c>
      <c r="S199" s="9"/>
      <c r="V199" s="9" t="n">
        <f aca="false">K193-$V$4</f>
        <v>-3.54878089993803</v>
      </c>
      <c r="W199" s="9" t="n">
        <f aca="false">L193-$W$4</f>
        <v>0.446830108382809</v>
      </c>
      <c r="X199" s="9" t="n">
        <f aca="false">M193-$X$4</f>
        <v>1.16798557429017</v>
      </c>
      <c r="Y199" s="9" t="n">
        <f aca="false">N193-$Y$4</f>
        <v>-0.848784598430513</v>
      </c>
      <c r="Z199" s="9" t="n">
        <f aca="false">O193-$Z$4</f>
        <v>1.09690497870207</v>
      </c>
      <c r="AA199" s="9" t="n">
        <f aca="false">P193-$AA$4</f>
        <v>0.854265028258719</v>
      </c>
      <c r="AB199" s="9" t="n">
        <f aca="false">Q193-$AB$4</f>
        <v>1.52925244298083</v>
      </c>
    </row>
    <row r="200" customFormat="false" ht="15.75" hidden="false" customHeight="false" outlineLevel="0" collapsed="false">
      <c r="A200" s="7" t="n">
        <v>45581</v>
      </c>
      <c r="B200" s="1" t="n">
        <v>168.39</v>
      </c>
      <c r="C200" s="9" t="n">
        <v>4094.95</v>
      </c>
      <c r="D200" s="9" t="n">
        <v>3068</v>
      </c>
      <c r="E200" s="8" t="n">
        <v>2462.25</v>
      </c>
      <c r="F200" s="9" t="n">
        <v>1733.95</v>
      </c>
      <c r="G200" s="11" t="n">
        <v>1469.35</v>
      </c>
      <c r="H200" s="12" t="n">
        <v>0.540963299</v>
      </c>
      <c r="I200" s="12"/>
      <c r="J200" s="12"/>
      <c r="K200" s="8" t="n">
        <f aca="false">((B200-B199)/B199)*100</f>
        <v>0.27392365866729</v>
      </c>
      <c r="L200" s="8" t="n">
        <f aca="false">((C200-C199)/C199)*100</f>
        <v>-0.530752040419752</v>
      </c>
      <c r="M200" s="8" t="n">
        <f aca="false">((D200-D199)/D199)*100</f>
        <v>-2.78217884530072</v>
      </c>
      <c r="N200" s="8" t="n">
        <f aca="false">((E200-E199)/E199)*100</f>
        <v>-0.885579148636409</v>
      </c>
      <c r="O200" s="8" t="n">
        <f aca="false">((F200-F199)/F199)*100</f>
        <v>0.972485077886158</v>
      </c>
      <c r="P200" s="8" t="n">
        <f aca="false">((G200-G199)/G199)*100</f>
        <v>-0.786630654962869</v>
      </c>
      <c r="Q200" s="8" t="n">
        <f aca="false">((H200-H199)/H199)*100</f>
        <v>-1.21214132851552</v>
      </c>
      <c r="S200" s="9"/>
      <c r="V200" s="9" t="n">
        <f aca="false">K194-$V$4</f>
        <v>0.877233563828605</v>
      </c>
      <c r="W200" s="9" t="n">
        <f aca="false">L194-$W$4</f>
        <v>-0.496329529289537</v>
      </c>
      <c r="X200" s="9" t="n">
        <f aca="false">M194-$X$4</f>
        <v>3.20361512297346</v>
      </c>
      <c r="Y200" s="9" t="n">
        <f aca="false">N194-$Y$4</f>
        <v>0.393429467963355</v>
      </c>
      <c r="Z200" s="9" t="n">
        <f aca="false">O194-$Z$4</f>
        <v>-0.468788473359472</v>
      </c>
      <c r="AA200" s="9" t="n">
        <f aca="false">P194-$AA$4</f>
        <v>0.516229229079071</v>
      </c>
      <c r="AB200" s="9" t="n">
        <f aca="false">Q194-$AB$4</f>
        <v>-1.31009253783935</v>
      </c>
    </row>
    <row r="201" customFormat="false" ht="15.75" hidden="false" customHeight="false" outlineLevel="0" collapsed="false">
      <c r="A201" s="7" t="n">
        <v>45582</v>
      </c>
      <c r="B201" s="1" t="n">
        <v>164.28</v>
      </c>
      <c r="C201" s="9" t="n">
        <v>4109</v>
      </c>
      <c r="D201" s="9" t="n">
        <v>2964.6</v>
      </c>
      <c r="E201" s="8" t="n">
        <v>2378.7</v>
      </c>
      <c r="F201" s="9" t="n">
        <v>1701.15</v>
      </c>
      <c r="G201" s="11" t="n">
        <v>1467.65</v>
      </c>
      <c r="H201" s="12" t="n">
        <v>0.54795838</v>
      </c>
      <c r="I201" s="12"/>
      <c r="J201" s="12"/>
      <c r="K201" s="8" t="n">
        <f aca="false">((B201-B200)/B200)*100</f>
        <v>-2.4407625155888</v>
      </c>
      <c r="L201" s="8" t="n">
        <f aca="false">((C201-C200)/C200)*100</f>
        <v>0.343105532424088</v>
      </c>
      <c r="M201" s="8" t="n">
        <f aca="false">((D201-D200)/D200)*100</f>
        <v>-3.37027379400261</v>
      </c>
      <c r="N201" s="8" t="n">
        <f aca="false">((E201-E200)/E200)*100</f>
        <v>-3.3932378921718</v>
      </c>
      <c r="O201" s="8" t="n">
        <f aca="false">((F201-F200)/F200)*100</f>
        <v>-1.89163470688313</v>
      </c>
      <c r="P201" s="8" t="n">
        <f aca="false">((G201-G200)/G200)*100</f>
        <v>-0.115697417225291</v>
      </c>
      <c r="Q201" s="8" t="n">
        <f aca="false">((H201-H200)/H200)*100</f>
        <v>1.29307866410361</v>
      </c>
      <c r="S201" s="9"/>
      <c r="V201" s="9" t="n">
        <f aca="false">K195-$V$4</f>
        <v>0.259950481570866</v>
      </c>
      <c r="W201" s="9" t="n">
        <f aca="false">L195-$W$4</f>
        <v>-0.0446727304837501</v>
      </c>
      <c r="X201" s="9" t="n">
        <f aca="false">M195-$X$4</f>
        <v>-0.65466776143874</v>
      </c>
      <c r="Y201" s="9" t="n">
        <f aca="false">N195-$Y$4</f>
        <v>-2.46022591006642</v>
      </c>
      <c r="Z201" s="9" t="n">
        <f aca="false">O195-$Z$4</f>
        <v>1.05386794067377</v>
      </c>
      <c r="AA201" s="9" t="n">
        <f aca="false">P195-$AA$4</f>
        <v>-1.72675275811231</v>
      </c>
      <c r="AB201" s="9" t="n">
        <f aca="false">Q195-$AB$4</f>
        <v>-0.557180166681546</v>
      </c>
    </row>
    <row r="202" customFormat="false" ht="15.75" hidden="false" customHeight="false" outlineLevel="0" collapsed="false">
      <c r="A202" s="7" t="n">
        <v>45583</v>
      </c>
      <c r="B202" s="1" t="n">
        <v>165.35</v>
      </c>
      <c r="C202" s="9" t="n">
        <v>4123.05</v>
      </c>
      <c r="D202" s="9" t="n">
        <v>2964.25</v>
      </c>
      <c r="E202" s="8" t="n">
        <v>2350.25</v>
      </c>
      <c r="F202" s="9" t="n">
        <v>1707.85</v>
      </c>
      <c r="G202" s="11" t="n">
        <v>1440.65</v>
      </c>
      <c r="H202" s="12" t="n">
        <v>0.543704295</v>
      </c>
      <c r="I202" s="12"/>
      <c r="J202" s="12"/>
      <c r="K202" s="8" t="n">
        <f aca="false">((B202-B201)/B201)*100</f>
        <v>0.65132700267835</v>
      </c>
      <c r="L202" s="8" t="n">
        <f aca="false">((C202-C201)/C201)*100</f>
        <v>0.341932343635926</v>
      </c>
      <c r="M202" s="8" t="n">
        <f aca="false">((D202-D201)/D201)*100</f>
        <v>-0.0118059771975953</v>
      </c>
      <c r="N202" s="8" t="n">
        <f aca="false">((E202-E201)/E201)*100</f>
        <v>-1.19603144574767</v>
      </c>
      <c r="O202" s="8" t="n">
        <f aca="false">((F202-F201)/F201)*100</f>
        <v>0.393851218293497</v>
      </c>
      <c r="P202" s="8" t="n">
        <f aca="false">((G202-G201)/G201)*100</f>
        <v>-1.83967567199264</v>
      </c>
      <c r="Q202" s="8" t="n">
        <f aca="false">((H202-H201)/H201)*100</f>
        <v>-0.776351846284387</v>
      </c>
      <c r="S202" s="9"/>
      <c r="V202" s="9" t="n">
        <f aca="false">K196-$V$4</f>
        <v>-0.256938047437736</v>
      </c>
      <c r="W202" s="9" t="n">
        <f aca="false">L196-$W$4</f>
        <v>-0.638378773590046</v>
      </c>
      <c r="X202" s="9" t="n">
        <f aca="false">M196-$X$4</f>
        <v>1.06109001215825</v>
      </c>
      <c r="Y202" s="9" t="n">
        <f aca="false">N196-$Y$4</f>
        <v>-0.0546007048339719</v>
      </c>
      <c r="Z202" s="9" t="n">
        <f aca="false">O196-$Z$4</f>
        <v>-0.192021829756698</v>
      </c>
      <c r="AA202" s="9" t="n">
        <f aca="false">P196-$AA$4</f>
        <v>0.28781681197157</v>
      </c>
      <c r="AB202" s="9" t="n">
        <f aca="false">Q196-$AB$4</f>
        <v>-1.8677671130742</v>
      </c>
    </row>
    <row r="203" customFormat="false" ht="15.75" hidden="false" customHeight="false" outlineLevel="0" collapsed="false">
      <c r="A203" s="7" t="n">
        <v>45586</v>
      </c>
      <c r="B203" s="1" t="n">
        <v>160.12</v>
      </c>
      <c r="C203" s="9" t="n">
        <v>4079.85</v>
      </c>
      <c r="D203" s="9" t="n">
        <v>2998.2</v>
      </c>
      <c r="E203" s="8" t="n">
        <v>2354.65</v>
      </c>
      <c r="F203" s="9" t="n">
        <v>1692.55</v>
      </c>
      <c r="G203" s="11" t="n">
        <v>1446.65</v>
      </c>
      <c r="H203" s="12" t="n">
        <v>0.546583198</v>
      </c>
      <c r="I203" s="12"/>
      <c r="J203" s="12"/>
      <c r="K203" s="8" t="n">
        <f aca="false">((B203-B202)/B202)*100</f>
        <v>-3.16298760205624</v>
      </c>
      <c r="L203" s="8" t="n">
        <f aca="false">((C203-C202)/C202)*100</f>
        <v>-1.04776803579875</v>
      </c>
      <c r="M203" s="8" t="n">
        <f aca="false">((D203-D202)/D202)*100</f>
        <v>1.14531500379522</v>
      </c>
      <c r="N203" s="8" t="n">
        <f aca="false">((E203-E202)/E202)*100</f>
        <v>0.187214126156796</v>
      </c>
      <c r="O203" s="8" t="n">
        <f aca="false">((F203-F202)/F202)*100</f>
        <v>-0.895863219837805</v>
      </c>
      <c r="P203" s="8" t="n">
        <f aca="false">((G203-G202)/G202)*100</f>
        <v>0.416478672821296</v>
      </c>
      <c r="Q203" s="8" t="n">
        <f aca="false">((H203-H202)/H202)*100</f>
        <v>0.529497932327359</v>
      </c>
      <c r="S203" s="9"/>
      <c r="V203" s="9" t="n">
        <f aca="false">K197-$V$4</f>
        <v>-0.798785845946991</v>
      </c>
      <c r="W203" s="9" t="n">
        <f aca="false">L197-$W$4</f>
        <v>-1.88745607986126</v>
      </c>
      <c r="X203" s="9" t="n">
        <f aca="false">M197-$X$4</f>
        <v>-2.12555412508198</v>
      </c>
      <c r="Y203" s="9" t="n">
        <f aca="false">N197-$Y$4</f>
        <v>0.0606251128831668</v>
      </c>
      <c r="Z203" s="9" t="n">
        <f aca="false">O197-$Z$4</f>
        <v>0.362176370588942</v>
      </c>
      <c r="AA203" s="9" t="n">
        <f aca="false">P197-$AA$4</f>
        <v>-1.55236586715783</v>
      </c>
      <c r="AB203" s="9" t="n">
        <f aca="false">Q197-$AB$4</f>
        <v>0.371281788160627</v>
      </c>
    </row>
    <row r="204" customFormat="false" ht="15.75" hidden="false" customHeight="false" outlineLevel="0" collapsed="false">
      <c r="A204" s="7" t="n">
        <v>45587</v>
      </c>
      <c r="B204" s="1" t="n">
        <v>155.31</v>
      </c>
      <c r="C204" s="9" t="n">
        <v>4015.5</v>
      </c>
      <c r="D204" s="9" t="n">
        <v>2887.2</v>
      </c>
      <c r="E204" s="8" t="n">
        <v>2350.25</v>
      </c>
      <c r="F204" s="9" t="n">
        <v>1692.25</v>
      </c>
      <c r="G204" s="11" t="n">
        <v>1439.35</v>
      </c>
      <c r="H204" s="12" t="n">
        <v>0.544505651</v>
      </c>
      <c r="I204" s="12"/>
      <c r="J204" s="12"/>
      <c r="K204" s="8" t="n">
        <f aca="false">((B204-B203)/B203)*100</f>
        <v>-3.00399700224832</v>
      </c>
      <c r="L204" s="8" t="n">
        <f aca="false">((C204-C203)/C203)*100</f>
        <v>-1.57726386999522</v>
      </c>
      <c r="M204" s="8" t="n">
        <f aca="false">((D204-D203)/D203)*100</f>
        <v>-3.70222133279968</v>
      </c>
      <c r="N204" s="8" t="n">
        <f aca="false">((E204-E203)/E203)*100</f>
        <v>-0.18686428980953</v>
      </c>
      <c r="O204" s="8" t="n">
        <f aca="false">((F204-F203)/F203)*100</f>
        <v>-0.0177247348675049</v>
      </c>
      <c r="P204" s="8" t="n">
        <f aca="false">((G204-G203)/G203)*100</f>
        <v>-0.504614108457483</v>
      </c>
      <c r="Q204" s="8" t="n">
        <f aca="false">((H204-H203)/H203)*100</f>
        <v>-0.380097121097374</v>
      </c>
      <c r="S204" s="9"/>
      <c r="V204" s="9" t="n">
        <f aca="false">K198-$V$4</f>
        <v>1.37752223435141</v>
      </c>
      <c r="W204" s="9" t="n">
        <f aca="false">L198-$W$4</f>
        <v>-0.340087246381617</v>
      </c>
      <c r="X204" s="9" t="n">
        <f aca="false">M198-$X$4</f>
        <v>0.406864720327191</v>
      </c>
      <c r="Y204" s="9" t="n">
        <f aca="false">N198-$Y$4</f>
        <v>-0.301671573260271</v>
      </c>
      <c r="Z204" s="9" t="n">
        <f aca="false">O198-$Z$4</f>
        <v>0.29393289348615</v>
      </c>
      <c r="AA204" s="9" t="n">
        <f aca="false">P198-$AA$4</f>
        <v>1.85440287267832</v>
      </c>
      <c r="AB204" s="9" t="n">
        <f aca="false">Q198-$AB$4</f>
        <v>-0.298711269526515</v>
      </c>
    </row>
    <row r="205" customFormat="false" ht="15.75" hidden="false" customHeight="false" outlineLevel="0" collapsed="false">
      <c r="A205" s="7" t="n">
        <v>45588</v>
      </c>
      <c r="B205" s="1" t="n">
        <v>152.94</v>
      </c>
      <c r="C205" s="9" t="n">
        <v>4066.25</v>
      </c>
      <c r="D205" s="9" t="n">
        <v>2793.5</v>
      </c>
      <c r="E205" s="8" t="n">
        <v>2327.15</v>
      </c>
      <c r="F205" s="9" t="n">
        <v>1685.8</v>
      </c>
      <c r="G205" s="11" t="n">
        <v>1422.65</v>
      </c>
      <c r="H205" s="12" t="n">
        <v>0.533539665</v>
      </c>
      <c r="I205" s="12"/>
      <c r="J205" s="12"/>
      <c r="K205" s="8" t="n">
        <f aca="false">((B205-B204)/B204)*100</f>
        <v>-1.52598029746958</v>
      </c>
      <c r="L205" s="8" t="n">
        <f aca="false">((C205-C204)/C204)*100</f>
        <v>1.26385257128627</v>
      </c>
      <c r="M205" s="8" t="n">
        <f aca="false">((D205-D204)/D204)*100</f>
        <v>-3.24535882515932</v>
      </c>
      <c r="N205" s="8" t="n">
        <f aca="false">((E205-E204)/E204)*100</f>
        <v>-0.982874162323153</v>
      </c>
      <c r="O205" s="8" t="n">
        <f aca="false">((F205-F204)/F204)*100</f>
        <v>-0.381149357364458</v>
      </c>
      <c r="P205" s="8" t="n">
        <f aca="false">((G205-G204)/G204)*100</f>
        <v>-1.16024594434987</v>
      </c>
      <c r="Q205" s="8" t="n">
        <f aca="false">((H205-H204)/H204)*100</f>
        <v>-2.013934286974</v>
      </c>
      <c r="S205" s="9"/>
      <c r="V205" s="9" t="n">
        <f aca="false">K199-$V$4</f>
        <v>1.44219226545053</v>
      </c>
      <c r="W205" s="9" t="n">
        <f aca="false">L199-$W$4</f>
        <v>-0.517476189782088</v>
      </c>
      <c r="X205" s="9" t="n">
        <f aca="false">M199-$X$4</f>
        <v>-0.220246556633695</v>
      </c>
      <c r="Y205" s="9" t="n">
        <f aca="false">N199-$Y$4</f>
        <v>-0.624920363858246</v>
      </c>
      <c r="Z205" s="9" t="n">
        <f aca="false">O199-$Z$4</f>
        <v>1.08481232924307</v>
      </c>
      <c r="AA205" s="9" t="n">
        <f aca="false">P199-$AA$4</f>
        <v>-1.14829401381062</v>
      </c>
      <c r="AB205" s="9" t="n">
        <f aca="false">Q199-$AB$4</f>
        <v>2.31505788043101</v>
      </c>
    </row>
    <row r="206" customFormat="false" ht="15.75" hidden="false" customHeight="false" outlineLevel="0" collapsed="false">
      <c r="A206" s="7" t="n">
        <v>45589</v>
      </c>
      <c r="B206" s="1" t="n">
        <v>153.27</v>
      </c>
      <c r="C206" s="9" t="n">
        <v>4047.9</v>
      </c>
      <c r="D206" s="9" t="n">
        <v>2826.35</v>
      </c>
      <c r="E206" s="8" t="n">
        <v>2258.65</v>
      </c>
      <c r="F206" s="9" t="n">
        <v>1678.45</v>
      </c>
      <c r="G206" s="11" t="n">
        <v>1414</v>
      </c>
      <c r="H206" s="12" t="n">
        <v>0.525826466</v>
      </c>
      <c r="I206" s="12"/>
      <c r="J206" s="12"/>
      <c r="K206" s="8" t="n">
        <f aca="false">((B206-B205)/B205)*100</f>
        <v>0.21577089054532</v>
      </c>
      <c r="L206" s="8" t="n">
        <f aca="false">((C206-C205)/C205)*100</f>
        <v>-0.451275745465722</v>
      </c>
      <c r="M206" s="8" t="n">
        <f aca="false">((D206-D205)/D205)*100</f>
        <v>1.1759441560766</v>
      </c>
      <c r="N206" s="8" t="n">
        <f aca="false">((E206-E205)/E205)*100</f>
        <v>-2.9435145994027</v>
      </c>
      <c r="O206" s="8" t="n">
        <f aca="false">((F206-F205)/F205)*100</f>
        <v>-0.435994779926439</v>
      </c>
      <c r="P206" s="8" t="n">
        <f aca="false">((G206-G205)/G205)*100</f>
        <v>-0.608020243911018</v>
      </c>
      <c r="Q206" s="8" t="n">
        <f aca="false">((H206-H205)/H205)*100</f>
        <v>-1.44566552516766</v>
      </c>
      <c r="S206" s="9"/>
      <c r="V206" s="9" t="n">
        <f aca="false">K200-$V$4</f>
        <v>0.229441602488521</v>
      </c>
      <c r="W206" s="9" t="n">
        <f aca="false">L200-$W$4</f>
        <v>-0.568371341173292</v>
      </c>
      <c r="X206" s="9" t="n">
        <f aca="false">M200-$X$4</f>
        <v>-3.03095245508983</v>
      </c>
      <c r="Y206" s="9" t="n">
        <f aca="false">N200-$Y$4</f>
        <v>-0.799082874138101</v>
      </c>
      <c r="Z206" s="9" t="n">
        <f aca="false">O200-$Z$4</f>
        <v>0.78046324812946</v>
      </c>
      <c r="AA206" s="9" t="n">
        <f aca="false">P200-$AA$4</f>
        <v>-0.767090167605652</v>
      </c>
      <c r="AB206" s="9" t="n">
        <f aca="false">Q200-$AB$4</f>
        <v>-1.89139904491867</v>
      </c>
    </row>
    <row r="207" customFormat="false" ht="15.75" hidden="false" customHeight="false" outlineLevel="0" collapsed="false">
      <c r="A207" s="7" t="n">
        <v>45590</v>
      </c>
      <c r="B207" s="1" t="n">
        <v>146.31</v>
      </c>
      <c r="C207" s="9" t="n">
        <v>4057.55</v>
      </c>
      <c r="D207" s="9" t="n">
        <v>2720.85</v>
      </c>
      <c r="E207" s="8" t="n">
        <v>2260.7</v>
      </c>
      <c r="F207" s="9" t="n">
        <v>1666</v>
      </c>
      <c r="G207" s="11" t="n">
        <v>1382.35</v>
      </c>
      <c r="H207" s="12" t="n">
        <v>0.532028242</v>
      </c>
      <c r="I207" s="12"/>
      <c r="J207" s="12"/>
      <c r="K207" s="8" t="n">
        <f aca="false">((B207-B206)/B206)*100</f>
        <v>-4.54100606772363</v>
      </c>
      <c r="L207" s="8" t="n">
        <f aca="false">((C207-C206)/C206)*100</f>
        <v>0.238395217273156</v>
      </c>
      <c r="M207" s="8" t="n">
        <f aca="false">((D207-D206)/D206)*100</f>
        <v>-3.73272949210112</v>
      </c>
      <c r="N207" s="8" t="n">
        <f aca="false">((E207-E206)/E206)*100</f>
        <v>0.0907621809487848</v>
      </c>
      <c r="O207" s="8" t="n">
        <f aca="false">((F207-F206)/F206)*100</f>
        <v>-0.74175578658882</v>
      </c>
      <c r="P207" s="8" t="n">
        <f aca="false">((G207-G206)/G206)*100</f>
        <v>-2.23833097595474</v>
      </c>
      <c r="Q207" s="8" t="n">
        <f aca="false">((H207-H206)/H206)*100</f>
        <v>1.17943397698813</v>
      </c>
      <c r="S207" s="9"/>
      <c r="V207" s="9" t="n">
        <f aca="false">K201-$V$4</f>
        <v>-2.48524457176757</v>
      </c>
      <c r="W207" s="9" t="n">
        <f aca="false">L201-$W$4</f>
        <v>0.305486231670548</v>
      </c>
      <c r="X207" s="9" t="n">
        <f aca="false">M201-$X$4</f>
        <v>-3.61904740379172</v>
      </c>
      <c r="Y207" s="9" t="n">
        <f aca="false">N201-$Y$4</f>
        <v>-3.30674161767349</v>
      </c>
      <c r="Z207" s="9" t="n">
        <f aca="false">O201-$Z$4</f>
        <v>-2.08365653663982</v>
      </c>
      <c r="AA207" s="9" t="n">
        <f aca="false">P201-$AA$4</f>
        <v>-0.0961569298680746</v>
      </c>
      <c r="AB207" s="9" t="n">
        <f aca="false">Q201-$AB$4</f>
        <v>0.613820947700461</v>
      </c>
    </row>
    <row r="208" customFormat="false" ht="15.75" hidden="false" customHeight="false" outlineLevel="0" collapsed="false">
      <c r="A208" s="7" t="n">
        <v>45593</v>
      </c>
      <c r="B208" s="1" t="n">
        <v>147.02</v>
      </c>
      <c r="C208" s="9" t="n">
        <v>4090.85</v>
      </c>
      <c r="D208" s="9" t="n">
        <v>2781</v>
      </c>
      <c r="E208" s="8" t="n">
        <v>2272.05</v>
      </c>
      <c r="F208" s="9" t="n">
        <v>1663.35</v>
      </c>
      <c r="G208" s="11" t="n">
        <v>1374.35</v>
      </c>
      <c r="H208" s="12" t="n">
        <v>0.516356417</v>
      </c>
      <c r="I208" s="12"/>
      <c r="J208" s="12"/>
      <c r="K208" s="8" t="n">
        <f aca="false">((B208-B207)/B207)*100</f>
        <v>0.485270999931657</v>
      </c>
      <c r="L208" s="8" t="n">
        <f aca="false">((C208-C207)/C207)*100</f>
        <v>0.820692289682191</v>
      </c>
      <c r="M208" s="8" t="n">
        <f aca="false">((D208-D207)/D207)*100</f>
        <v>2.21070621313193</v>
      </c>
      <c r="N208" s="8" t="n">
        <f aca="false">((E208-E207)/E207)*100</f>
        <v>0.502056885035625</v>
      </c>
      <c r="O208" s="8" t="n">
        <f aca="false">((F208-F207)/F207)*100</f>
        <v>-0.159063625450186</v>
      </c>
      <c r="P208" s="8" t="n">
        <f aca="false">((G208-G207)/G207)*100</f>
        <v>-0.578724635584331</v>
      </c>
      <c r="Q208" s="8" t="n">
        <f aca="false">((H208-H207)/H207)*100</f>
        <v>-2.94567539142029</v>
      </c>
      <c r="S208" s="9"/>
      <c r="V208" s="9" t="n">
        <f aca="false">K202-$V$4</f>
        <v>0.606844946499581</v>
      </c>
      <c r="W208" s="9" t="n">
        <f aca="false">L202-$W$4</f>
        <v>0.304313042882386</v>
      </c>
      <c r="X208" s="9" t="n">
        <f aca="false">M202-$X$4</f>
        <v>-0.260579586986703</v>
      </c>
      <c r="Y208" s="9" t="n">
        <f aca="false">N202-$Y$4</f>
        <v>-1.10953517124936</v>
      </c>
      <c r="Z208" s="9" t="n">
        <f aca="false">O202-$Z$4</f>
        <v>0.201829388536799</v>
      </c>
      <c r="AA208" s="9" t="n">
        <f aca="false">P202-$AA$4</f>
        <v>-1.82013518463542</v>
      </c>
      <c r="AB208" s="9" t="n">
        <f aca="false">Q202-$AB$4</f>
        <v>-1.45560956268754</v>
      </c>
    </row>
    <row r="209" customFormat="false" ht="15.75" hidden="false" customHeight="false" outlineLevel="0" collapsed="false">
      <c r="A209" s="7" t="n">
        <v>45594</v>
      </c>
      <c r="B209" s="1" t="n">
        <v>144.12</v>
      </c>
      <c r="C209" s="9" t="n">
        <v>4075.25</v>
      </c>
      <c r="D209" s="9" t="n">
        <v>2746.9</v>
      </c>
      <c r="E209" s="8" t="n">
        <v>2267.4</v>
      </c>
      <c r="F209" s="9" t="n">
        <v>1637.1</v>
      </c>
      <c r="G209" s="11" t="n">
        <v>1367.35</v>
      </c>
      <c r="H209" s="12" t="n">
        <v>0.519100272</v>
      </c>
      <c r="I209" s="12"/>
      <c r="J209" s="12"/>
      <c r="K209" s="8" t="n">
        <f aca="false">((B209-B208)/B208)*100</f>
        <v>-1.97252074547681</v>
      </c>
      <c r="L209" s="8" t="n">
        <f aca="false">((C209-C208)/C208)*100</f>
        <v>-0.381338841561043</v>
      </c>
      <c r="M209" s="8" t="n">
        <f aca="false">((D209-D208)/D208)*100</f>
        <v>-1.22617763394462</v>
      </c>
      <c r="N209" s="8" t="n">
        <f aca="false">((E209-E208)/E208)*100</f>
        <v>-0.204660988974718</v>
      </c>
      <c r="O209" s="8" t="n">
        <f aca="false">((F209-F208)/F208)*100</f>
        <v>-1.57814049959419</v>
      </c>
      <c r="P209" s="8" t="n">
        <f aca="false">((G209-G208)/G208)*100</f>
        <v>-0.509331684068833</v>
      </c>
      <c r="Q209" s="8" t="n">
        <f aca="false">((H209-H208)/H208)*100</f>
        <v>0.531387799137192</v>
      </c>
      <c r="S209" s="9"/>
      <c r="V209" s="9" t="n">
        <f aca="false">K203-$V$4</f>
        <v>-3.20746965823501</v>
      </c>
      <c r="W209" s="9" t="n">
        <f aca="false">L203-$W$4</f>
        <v>-1.08538733655229</v>
      </c>
      <c r="X209" s="9" t="n">
        <f aca="false">M203-$X$4</f>
        <v>0.896541394006113</v>
      </c>
      <c r="Y209" s="9" t="n">
        <f aca="false">N203-$Y$4</f>
        <v>0.273710400655105</v>
      </c>
      <c r="Z209" s="9" t="n">
        <f aca="false">O203-$Z$4</f>
        <v>-1.0878850495945</v>
      </c>
      <c r="AA209" s="9" t="n">
        <f aca="false">P203-$AA$4</f>
        <v>0.436019160178513</v>
      </c>
      <c r="AB209" s="9" t="n">
        <f aca="false">Q203-$AB$4</f>
        <v>-0.14975978407579</v>
      </c>
    </row>
    <row r="210" customFormat="false" ht="15.75" hidden="false" customHeight="false" outlineLevel="0" collapsed="false">
      <c r="A210" s="7" t="n">
        <v>45595</v>
      </c>
      <c r="B210" s="1" t="n">
        <v>143.4</v>
      </c>
      <c r="C210" s="9" t="n">
        <v>4084.65</v>
      </c>
      <c r="D210" s="9" t="n">
        <v>2707.7</v>
      </c>
      <c r="E210" s="8" t="n">
        <v>2276.3</v>
      </c>
      <c r="F210" s="9" t="n">
        <v>1633.35</v>
      </c>
      <c r="G210" s="11" t="n">
        <v>1366.65</v>
      </c>
      <c r="H210" s="12" t="n">
        <v>0.528517656</v>
      </c>
      <c r="I210" s="12"/>
      <c r="J210" s="12"/>
      <c r="K210" s="8" t="n">
        <f aca="false">((B210-B209)/B209)*100</f>
        <v>-0.499583680266444</v>
      </c>
      <c r="L210" s="8" t="n">
        <f aca="false">((C210-C209)/C209)*100</f>
        <v>0.230660695662845</v>
      </c>
      <c r="M210" s="8" t="n">
        <f aca="false">((D210-D209)/D209)*100</f>
        <v>-1.42706323491937</v>
      </c>
      <c r="N210" s="8" t="n">
        <f aca="false">((E210-E209)/E209)*100</f>
        <v>0.392520067037139</v>
      </c>
      <c r="O210" s="8" t="n">
        <f aca="false">((F210-F209)/F209)*100</f>
        <v>-0.229063588052043</v>
      </c>
      <c r="P210" s="8" t="n">
        <f aca="false">((G210-G209)/G209)*100</f>
        <v>-0.0511939152374899</v>
      </c>
      <c r="Q210" s="8" t="n">
        <f aca="false">((H210-H209)/H209)*100</f>
        <v>1.81417435281175</v>
      </c>
      <c r="S210" s="9"/>
      <c r="V210" s="9" t="n">
        <f aca="false">K204-$V$4</f>
        <v>-3.04847905842708</v>
      </c>
      <c r="W210" s="9" t="n">
        <f aca="false">L204-$W$4</f>
        <v>-1.61488317074876</v>
      </c>
      <c r="X210" s="9" t="n">
        <f aca="false">M204-$X$4</f>
        <v>-3.95099494258879</v>
      </c>
      <c r="Y210" s="9" t="n">
        <f aca="false">N204-$Y$4</f>
        <v>-0.100368015311221</v>
      </c>
      <c r="Z210" s="9" t="n">
        <f aca="false">O204-$Z$4</f>
        <v>-0.209746564624203</v>
      </c>
      <c r="AA210" s="9" t="n">
        <f aca="false">P204-$AA$4</f>
        <v>-0.485073621100267</v>
      </c>
      <c r="AB210" s="9" t="n">
        <f aca="false">Q204-$AB$4</f>
        <v>-1.05935483750052</v>
      </c>
    </row>
    <row r="211" customFormat="false" ht="15.75" hidden="false" customHeight="false" outlineLevel="0" collapsed="false">
      <c r="A211" s="7" t="n">
        <v>45596</v>
      </c>
      <c r="B211" s="1" t="n">
        <v>142.62</v>
      </c>
      <c r="C211" s="9" t="n">
        <v>3968.45</v>
      </c>
      <c r="D211" s="9" t="n">
        <v>2728.55</v>
      </c>
      <c r="E211" s="8" t="n">
        <v>2262.95</v>
      </c>
      <c r="F211" s="9" t="n">
        <v>1612.6</v>
      </c>
      <c r="G211" s="11" t="n">
        <v>1362.35</v>
      </c>
      <c r="H211" s="12" t="n">
        <v>0.522652035</v>
      </c>
      <c r="I211" s="12"/>
      <c r="J211" s="12"/>
      <c r="K211" s="8" t="n">
        <f aca="false">((B211-B210)/B210)*100</f>
        <v>-0.543933054393306</v>
      </c>
      <c r="L211" s="8" t="n">
        <f aca="false">((C211-C210)/C210)*100</f>
        <v>-2.84479698382971</v>
      </c>
      <c r="M211" s="8" t="n">
        <f aca="false">((D211-D210)/D210)*100</f>
        <v>0.77002622151643</v>
      </c>
      <c r="N211" s="8" t="n">
        <f aca="false">((E211-E210)/E210)*100</f>
        <v>-0.586478056495206</v>
      </c>
      <c r="O211" s="8" t="n">
        <f aca="false">((F211-F210)/F210)*100</f>
        <v>-1.27039520004898</v>
      </c>
      <c r="P211" s="8" t="n">
        <f aca="false">((G211-G210)/G210)*100</f>
        <v>-0.314637983390055</v>
      </c>
      <c r="Q211" s="8" t="n">
        <f aca="false">((H211-H210)/H210)*100</f>
        <v>-1.10982498567654</v>
      </c>
      <c r="S211" s="9"/>
      <c r="V211" s="9" t="n">
        <f aca="false">K205-$V$4</f>
        <v>-1.57046235364835</v>
      </c>
      <c r="W211" s="9" t="n">
        <f aca="false">L205-$W$4</f>
        <v>1.22623327053273</v>
      </c>
      <c r="X211" s="9" t="n">
        <f aca="false">M205-$X$4</f>
        <v>-3.49413243494843</v>
      </c>
      <c r="Y211" s="9" t="n">
        <f aca="false">N205-$Y$4</f>
        <v>-0.896377887824845</v>
      </c>
      <c r="Z211" s="9" t="n">
        <f aca="false">O205-$Z$4</f>
        <v>-0.573171187121156</v>
      </c>
      <c r="AA211" s="9" t="n">
        <f aca="false">P205-$AA$4</f>
        <v>-1.14070545699265</v>
      </c>
      <c r="AB211" s="9" t="n">
        <f aca="false">Q205-$AB$4</f>
        <v>-2.69319200337715</v>
      </c>
    </row>
    <row r="212" customFormat="false" ht="15.75" hidden="false" customHeight="false" outlineLevel="0" collapsed="false">
      <c r="A212" s="7" t="n">
        <v>45597</v>
      </c>
      <c r="B212" s="1" t="n">
        <v>144.99</v>
      </c>
      <c r="C212" s="9" t="n">
        <v>3984.2</v>
      </c>
      <c r="D212" s="9" t="n">
        <v>2817.65</v>
      </c>
      <c r="E212" s="8" t="n">
        <v>2282.3</v>
      </c>
      <c r="F212" s="9" t="n">
        <v>1616.45</v>
      </c>
      <c r="G212" s="11" t="n">
        <v>1370</v>
      </c>
      <c r="H212" s="12" t="n">
        <v>0.509112255</v>
      </c>
      <c r="I212" s="12"/>
      <c r="J212" s="12"/>
      <c r="K212" s="8" t="n">
        <f aca="false">((B212-B211)/B211)*100</f>
        <v>1.66175851914178</v>
      </c>
      <c r="L212" s="8" t="n">
        <f aca="false">((C212-C211)/C211)*100</f>
        <v>0.396880394108531</v>
      </c>
      <c r="M212" s="8" t="n">
        <f aca="false">((D212-D211)/D211)*100</f>
        <v>3.26547067123563</v>
      </c>
      <c r="N212" s="8" t="n">
        <f aca="false">((E212-E211)/E211)*100</f>
        <v>0.855078547913138</v>
      </c>
      <c r="O212" s="8" t="n">
        <f aca="false">((F212-F211)/F211)*100</f>
        <v>0.238744884038208</v>
      </c>
      <c r="P212" s="8" t="n">
        <f aca="false">((G212-G211)/G211)*100</f>
        <v>0.561529709692817</v>
      </c>
      <c r="Q212" s="8" t="n">
        <f aca="false">((H212-H211)/H211)*100</f>
        <v>-2.59059165434992</v>
      </c>
      <c r="S212" s="9"/>
      <c r="V212" s="9" t="n">
        <f aca="false">K206-$V$4</f>
        <v>0.171288834366552</v>
      </c>
      <c r="W212" s="9" t="n">
        <f aca="false">L206-$W$4</f>
        <v>-0.488895046219261</v>
      </c>
      <c r="X212" s="9" t="n">
        <f aca="false">M206-$X$4</f>
        <v>0.927170546287496</v>
      </c>
      <c r="Y212" s="9" t="n">
        <f aca="false">N206-$Y$4</f>
        <v>-2.85701832490439</v>
      </c>
      <c r="Z212" s="9" t="n">
        <f aca="false">O206-$Z$4</f>
        <v>-0.628016609683137</v>
      </c>
      <c r="AA212" s="9" t="n">
        <f aca="false">P206-$AA$4</f>
        <v>-0.588479756553801</v>
      </c>
      <c r="AB212" s="9" t="n">
        <f aca="false">Q206-$AB$4</f>
        <v>-2.12492324157081</v>
      </c>
    </row>
    <row r="213" customFormat="false" ht="15.75" hidden="false" customHeight="false" outlineLevel="0" collapsed="false">
      <c r="A213" s="7" t="n">
        <v>45600</v>
      </c>
      <c r="B213" s="1" t="n">
        <v>138.93</v>
      </c>
      <c r="C213" s="9" t="n">
        <v>3964.15</v>
      </c>
      <c r="D213" s="9" t="n">
        <v>2883.95</v>
      </c>
      <c r="E213" s="8" t="n">
        <v>2246.2</v>
      </c>
      <c r="F213" s="9" t="n">
        <v>1591.25</v>
      </c>
      <c r="G213" s="11" t="n">
        <v>1374</v>
      </c>
      <c r="H213" s="12" t="n">
        <v>0.503000043</v>
      </c>
      <c r="I213" s="12"/>
      <c r="J213" s="12"/>
      <c r="K213" s="8" t="n">
        <f aca="false">((B213-B212)/B212)*100</f>
        <v>-4.17959859300642</v>
      </c>
      <c r="L213" s="8" t="n">
        <f aca="false">((C213-C212)/C212)*100</f>
        <v>-0.5032377892676</v>
      </c>
      <c r="M213" s="8" t="n">
        <f aca="false">((D213-D212)/D212)*100</f>
        <v>2.3530246836903</v>
      </c>
      <c r="N213" s="8" t="n">
        <f aca="false">((E213-E212)/E212)*100</f>
        <v>-1.58173772072034</v>
      </c>
      <c r="O213" s="8" t="n">
        <f aca="false">((F213-F212)/F212)*100</f>
        <v>-1.5589718209657</v>
      </c>
      <c r="P213" s="8" t="n">
        <f aca="false">((G213-G212)/G212)*100</f>
        <v>0.291970802919708</v>
      </c>
      <c r="Q213" s="8" t="n">
        <f aca="false">((H213-H212)/H212)*100</f>
        <v>-1.20056273247636</v>
      </c>
      <c r="S213" s="9"/>
      <c r="V213" s="9" t="n">
        <f aca="false">K207-$V$4</f>
        <v>-4.5854881239024</v>
      </c>
      <c r="W213" s="9" t="n">
        <f aca="false">L207-$W$4</f>
        <v>0.200775916519617</v>
      </c>
      <c r="X213" s="9" t="n">
        <f aca="false">M207-$X$4</f>
        <v>-3.98150310189023</v>
      </c>
      <c r="Y213" s="9" t="n">
        <f aca="false">N207-$Y$4</f>
        <v>0.177258455447094</v>
      </c>
      <c r="Z213" s="9" t="n">
        <f aca="false">O207-$Z$4</f>
        <v>-0.933777616345518</v>
      </c>
      <c r="AA213" s="9" t="n">
        <f aca="false">P207-$AA$4</f>
        <v>-2.21879048859753</v>
      </c>
      <c r="AB213" s="9" t="n">
        <f aca="false">Q207-$AB$4</f>
        <v>0.500176260584981</v>
      </c>
    </row>
    <row r="214" customFormat="false" ht="15.75" hidden="false" customHeight="false" outlineLevel="0" collapsed="false">
      <c r="A214" s="7" t="n">
        <v>45601</v>
      </c>
      <c r="B214" s="1" t="n">
        <v>140.8</v>
      </c>
      <c r="C214" s="9" t="n">
        <v>3971.35</v>
      </c>
      <c r="D214" s="9" t="n">
        <v>2899.45</v>
      </c>
      <c r="E214" s="8" t="n">
        <v>2262.45</v>
      </c>
      <c r="F214" s="9" t="n">
        <v>1578.4</v>
      </c>
      <c r="G214" s="11" t="n">
        <v>1376.65</v>
      </c>
      <c r="H214" s="12" t="n">
        <v>0.50287415</v>
      </c>
      <c r="I214" s="12"/>
      <c r="J214" s="12"/>
      <c r="K214" s="8" t="n">
        <f aca="false">((B214-B213)/B213)*100</f>
        <v>1.34600158353128</v>
      </c>
      <c r="L214" s="8" t="n">
        <f aca="false">((C214-C213)/C213)*100</f>
        <v>0.181627839511618</v>
      </c>
      <c r="M214" s="8" t="n">
        <f aca="false">((D214-D213)/D213)*100</f>
        <v>0.537457306818773</v>
      </c>
      <c r="N214" s="8" t="n">
        <f aca="false">((E214-E213)/E213)*100</f>
        <v>0.72344403882112</v>
      </c>
      <c r="O214" s="8" t="n">
        <f aca="false">((F214-F213)/F213)*100</f>
        <v>-0.807541241162602</v>
      </c>
      <c r="P214" s="8" t="n">
        <f aca="false">((G214-G213)/G213)*100</f>
        <v>0.192867540029119</v>
      </c>
      <c r="Q214" s="8" t="n">
        <f aca="false">((H214-H213)/H213)*100</f>
        <v>-0.0250284272838498</v>
      </c>
      <c r="S214" s="9"/>
      <c r="V214" s="9" t="n">
        <f aca="false">K208-$V$4</f>
        <v>0.440788943752889</v>
      </c>
      <c r="W214" s="9" t="n">
        <f aca="false">L208-$W$4</f>
        <v>0.783072988928651</v>
      </c>
      <c r="X214" s="9" t="n">
        <f aca="false">M208-$X$4</f>
        <v>1.96193260334282</v>
      </c>
      <c r="Y214" s="9" t="n">
        <f aca="false">N208-$Y$4</f>
        <v>0.588553159533933</v>
      </c>
      <c r="Z214" s="9" t="n">
        <f aca="false">O208-$Z$4</f>
        <v>-0.351085455206883</v>
      </c>
      <c r="AA214" s="9" t="n">
        <f aca="false">P208-$AA$4</f>
        <v>-0.559184148227114</v>
      </c>
      <c r="AB214" s="9" t="n">
        <f aca="false">Q208-$AB$4</f>
        <v>-3.62493310782344</v>
      </c>
    </row>
    <row r="215" customFormat="false" ht="15.75" hidden="false" customHeight="false" outlineLevel="0" collapsed="false">
      <c r="A215" s="7" t="n">
        <v>45602</v>
      </c>
      <c r="B215" s="1" t="n">
        <v>144.61</v>
      </c>
      <c r="C215" s="9" t="n">
        <v>4139.65</v>
      </c>
      <c r="D215" s="9" t="n">
        <v>2934.55</v>
      </c>
      <c r="E215" s="8" t="n">
        <v>2275.6</v>
      </c>
      <c r="F215" s="9" t="n">
        <v>1598.8</v>
      </c>
      <c r="G215" s="11" t="n">
        <v>1365</v>
      </c>
      <c r="H215" s="12" t="n">
        <v>0.512803359</v>
      </c>
      <c r="I215" s="12"/>
      <c r="J215" s="12"/>
      <c r="K215" s="8" t="n">
        <f aca="false">((B215-B214)/B214)*100</f>
        <v>2.70596590909091</v>
      </c>
      <c r="L215" s="8" t="n">
        <f aca="false">((C215-C214)/C214)*100</f>
        <v>4.23785362660052</v>
      </c>
      <c r="M215" s="8" t="n">
        <f aca="false">((D215-D214)/D214)*100</f>
        <v>1.21057441928643</v>
      </c>
      <c r="N215" s="8" t="n">
        <f aca="false">((E215-E214)/E214)*100</f>
        <v>0.581228314437892</v>
      </c>
      <c r="O215" s="8" t="n">
        <f aca="false">((F215-F214)/F214)*100</f>
        <v>1.29244804865686</v>
      </c>
      <c r="P215" s="8" t="n">
        <f aca="false">((G215-G214)/G214)*100</f>
        <v>-0.846257218610401</v>
      </c>
      <c r="Q215" s="8" t="n">
        <f aca="false">((H215-H214)/H214)*100</f>
        <v>1.97449182862152</v>
      </c>
      <c r="S215" s="9"/>
      <c r="V215" s="9" t="n">
        <f aca="false">K209-$V$4</f>
        <v>-2.01700280165558</v>
      </c>
      <c r="W215" s="9" t="n">
        <f aca="false">L209-$W$4</f>
        <v>-0.418958142314582</v>
      </c>
      <c r="X215" s="9" t="n">
        <f aca="false">M209-$X$4</f>
        <v>-1.47495124373373</v>
      </c>
      <c r="Y215" s="9" t="n">
        <f aca="false">N209-$Y$4</f>
        <v>-0.11816471447641</v>
      </c>
      <c r="Z215" s="9" t="n">
        <f aca="false">O209-$Z$4</f>
        <v>-1.77016232935089</v>
      </c>
      <c r="AA215" s="9" t="n">
        <f aca="false">P209-$AA$4</f>
        <v>-0.489791196711616</v>
      </c>
      <c r="AB215" s="9" t="n">
        <f aca="false">Q209-$AB$4</f>
        <v>-0.147869917265957</v>
      </c>
    </row>
    <row r="216" customFormat="false" ht="15.75" hidden="false" customHeight="false" outlineLevel="0" collapsed="false">
      <c r="A216" s="7" t="n">
        <v>45603</v>
      </c>
      <c r="B216" s="1" t="n">
        <v>144.15</v>
      </c>
      <c r="C216" s="9" t="n">
        <v>4150.9</v>
      </c>
      <c r="D216" s="9" t="n">
        <v>2891.35</v>
      </c>
      <c r="E216" s="8" t="n">
        <v>2262.85</v>
      </c>
      <c r="F216" s="9" t="n">
        <v>1575.8</v>
      </c>
      <c r="G216" s="11" t="n">
        <v>1375</v>
      </c>
      <c r="H216" s="12" t="n">
        <v>0.542482436</v>
      </c>
      <c r="I216" s="12"/>
      <c r="J216" s="12"/>
      <c r="K216" s="8" t="n">
        <f aca="false">((B216-B215)/B215)*100</f>
        <v>-0.318096950418372</v>
      </c>
      <c r="L216" s="8" t="n">
        <f aca="false">((C216-C215)/C215)*100</f>
        <v>0.27176210549201</v>
      </c>
      <c r="M216" s="8" t="n">
        <f aca="false">((D216-D215)/D215)*100</f>
        <v>-1.47211667887752</v>
      </c>
      <c r="N216" s="8" t="n">
        <f aca="false">((E216-E215)/E215)*100</f>
        <v>-0.560291791175954</v>
      </c>
      <c r="O216" s="8" t="n">
        <f aca="false">((F216-F215)/F215)*100</f>
        <v>-1.43857893420065</v>
      </c>
      <c r="P216" s="8" t="n">
        <f aca="false">((G216-G215)/G215)*100</f>
        <v>0.732600732600733</v>
      </c>
      <c r="Q216" s="8" t="n">
        <f aca="false">((H216-H215)/H215)*100</f>
        <v>5.7876136103859</v>
      </c>
      <c r="S216" s="9"/>
      <c r="V216" s="9" t="n">
        <f aca="false">K210-$V$4</f>
        <v>-0.544065736445212</v>
      </c>
      <c r="W216" s="9" t="n">
        <f aca="false">L210-$W$4</f>
        <v>0.193041394909306</v>
      </c>
      <c r="X216" s="9" t="n">
        <f aca="false">M210-$X$4</f>
        <v>-1.67583684470848</v>
      </c>
      <c r="Y216" s="9" t="n">
        <f aca="false">N210-$Y$4</f>
        <v>0.479016341535448</v>
      </c>
      <c r="Z216" s="9" t="n">
        <f aca="false">O210-$Z$4</f>
        <v>-0.421085417808741</v>
      </c>
      <c r="AA216" s="9" t="n">
        <f aca="false">P210-$AA$4</f>
        <v>-0.0316534278802732</v>
      </c>
      <c r="AB216" s="9" t="n">
        <f aca="false">Q210-$AB$4</f>
        <v>1.1349166364086</v>
      </c>
    </row>
    <row r="217" customFormat="false" ht="15.75" hidden="false" customHeight="false" outlineLevel="0" collapsed="false">
      <c r="A217" s="7" t="n">
        <v>45604</v>
      </c>
      <c r="B217" s="1" t="n">
        <v>140.34</v>
      </c>
      <c r="C217" s="9" t="n">
        <v>4147</v>
      </c>
      <c r="D217" s="9" t="n">
        <v>2974.9</v>
      </c>
      <c r="E217" s="8" t="n">
        <v>2295.65</v>
      </c>
      <c r="F217" s="9" t="n">
        <v>1569.9</v>
      </c>
      <c r="G217" s="11" t="n">
        <v>1389.35</v>
      </c>
      <c r="H217" s="12" t="n">
        <v>0.554355453</v>
      </c>
      <c r="I217" s="12"/>
      <c r="J217" s="12"/>
      <c r="K217" s="8" t="n">
        <f aca="false">((B217-B216)/B216)*100</f>
        <v>-2.64308012486993</v>
      </c>
      <c r="L217" s="8" t="n">
        <f aca="false">((C217-C216)/C216)*100</f>
        <v>-0.0939555277168719</v>
      </c>
      <c r="M217" s="8" t="n">
        <f aca="false">((D217-D216)/D216)*100</f>
        <v>2.88965362201049</v>
      </c>
      <c r="N217" s="8" t="n">
        <f aca="false">((E217-E216)/E216)*100</f>
        <v>1.44949952493538</v>
      </c>
      <c r="O217" s="8" t="n">
        <f aca="false">((F217-F216)/F216)*100</f>
        <v>-0.374412996573161</v>
      </c>
      <c r="P217" s="8" t="n">
        <f aca="false">((G217-G216)/G216)*100</f>
        <v>1.04363636363636</v>
      </c>
      <c r="Q217" s="8" t="n">
        <f aca="false">((H217-H216)/H216)*100</f>
        <v>2.18864542187685</v>
      </c>
      <c r="S217" s="9"/>
      <c r="V217" s="9" t="n">
        <f aca="false">K211-$V$4</f>
        <v>-0.588415110572075</v>
      </c>
      <c r="W217" s="9" t="n">
        <f aca="false">L211-$W$4</f>
        <v>-2.88241628458325</v>
      </c>
      <c r="X217" s="9" t="n">
        <f aca="false">M211-$X$4</f>
        <v>0.521252611727322</v>
      </c>
      <c r="Y217" s="9" t="n">
        <f aca="false">N211-$Y$4</f>
        <v>-0.499981781996897</v>
      </c>
      <c r="Z217" s="9" t="n">
        <f aca="false">O211-$Z$4</f>
        <v>-1.46241702980568</v>
      </c>
      <c r="AA217" s="9" t="n">
        <f aca="false">P211-$AA$4</f>
        <v>-0.295097496032838</v>
      </c>
      <c r="AB217" s="9" t="n">
        <f aca="false">Q211-$AB$4</f>
        <v>-1.78908270207969</v>
      </c>
    </row>
    <row r="218" customFormat="false" ht="15.75" hidden="false" customHeight="false" outlineLevel="0" collapsed="false">
      <c r="A218" s="7" t="n">
        <v>45607</v>
      </c>
      <c r="B218" s="1" t="n">
        <v>139.43</v>
      </c>
      <c r="C218" s="9" t="n">
        <v>4198.7</v>
      </c>
      <c r="D218" s="9" t="n">
        <v>2930.6</v>
      </c>
      <c r="E218" s="8" t="n">
        <v>2279.05</v>
      </c>
      <c r="F218" s="9" t="n">
        <v>1560.55</v>
      </c>
      <c r="G218" s="11" t="n">
        <v>1375</v>
      </c>
      <c r="H218" s="12" t="n">
        <v>0.589438934</v>
      </c>
      <c r="I218" s="12"/>
      <c r="J218" s="12"/>
      <c r="K218" s="8" t="n">
        <f aca="false">((B218-B217)/B217)*100</f>
        <v>-0.648425252957102</v>
      </c>
      <c r="L218" s="8" t="n">
        <f aca="false">((C218-C217)/C217)*100</f>
        <v>1.24668435013262</v>
      </c>
      <c r="M218" s="8" t="n">
        <f aca="false">((D218-D217)/D217)*100</f>
        <v>-1.48912568489698</v>
      </c>
      <c r="N218" s="8" t="n">
        <f aca="false">((E218-E217)/E217)*100</f>
        <v>-0.723106745366232</v>
      </c>
      <c r="O218" s="8" t="n">
        <f aca="false">((F218-F217)/F217)*100</f>
        <v>-0.595579336263465</v>
      </c>
      <c r="P218" s="8" t="n">
        <f aca="false">((G218-G217)/G217)*100</f>
        <v>-1.03285709144563</v>
      </c>
      <c r="Q218" s="8" t="n">
        <f aca="false">((H218-H217)/H217)*100</f>
        <v>6.32869773538604</v>
      </c>
      <c r="S218" s="9"/>
      <c r="V218" s="9" t="n">
        <f aca="false">K212-$V$4</f>
        <v>1.61727646296301</v>
      </c>
      <c r="W218" s="9" t="n">
        <f aca="false">L212-$W$4</f>
        <v>0.359261093354992</v>
      </c>
      <c r="X218" s="9" t="n">
        <f aca="false">M212-$X$4</f>
        <v>3.01669706144653</v>
      </c>
      <c r="Y218" s="9" t="n">
        <f aca="false">N212-$Y$4</f>
        <v>0.941574822411447</v>
      </c>
      <c r="Z218" s="9" t="n">
        <f aca="false">O212-$Z$4</f>
        <v>0.0467230542815097</v>
      </c>
      <c r="AA218" s="9" t="n">
        <f aca="false">P212-$AA$4</f>
        <v>0.581070197050034</v>
      </c>
      <c r="AB218" s="9" t="n">
        <f aca="false">Q212-$AB$4</f>
        <v>-3.26984937075306</v>
      </c>
    </row>
    <row r="219" customFormat="false" ht="15.75" hidden="false" customHeight="false" outlineLevel="0" collapsed="false">
      <c r="A219" s="7" t="n">
        <v>45608</v>
      </c>
      <c r="B219" s="1" t="n">
        <v>138.79</v>
      </c>
      <c r="C219" s="9" t="n">
        <v>4197.4</v>
      </c>
      <c r="D219" s="9" t="n">
        <v>2898.55</v>
      </c>
      <c r="E219" s="8" t="n">
        <v>2256.2</v>
      </c>
      <c r="F219" s="9" t="n">
        <v>1555.65</v>
      </c>
      <c r="G219" s="11" t="n">
        <v>1366.65</v>
      </c>
      <c r="H219" s="12" t="n">
        <v>0.619384695</v>
      </c>
      <c r="I219" s="12"/>
      <c r="J219" s="12"/>
      <c r="K219" s="8" t="n">
        <f aca="false">((B219-B218)/B218)*100</f>
        <v>-0.459011690454002</v>
      </c>
      <c r="L219" s="8" t="n">
        <f aca="false">((C219-C218)/C218)*100</f>
        <v>-0.0309619644175622</v>
      </c>
      <c r="M219" s="8" t="n">
        <f aca="false">((D219-D218)/D218)*100</f>
        <v>-1.0936327032007</v>
      </c>
      <c r="N219" s="8" t="n">
        <f aca="false">((E219-E218)/E218)*100</f>
        <v>-1.00261073692988</v>
      </c>
      <c r="O219" s="8" t="n">
        <f aca="false">((F219-F218)/F218)*100</f>
        <v>-0.313991861843572</v>
      </c>
      <c r="P219" s="8" t="n">
        <f aca="false">((G219-G218)/G218)*100</f>
        <v>-0.607272727272721</v>
      </c>
      <c r="Q219" s="8" t="n">
        <f aca="false">((H219-H218)/H218)*100</f>
        <v>5.0803839503415</v>
      </c>
      <c r="S219" s="9"/>
      <c r="V219" s="9" t="n">
        <f aca="false">K213-$V$4</f>
        <v>-4.22408064918518</v>
      </c>
      <c r="W219" s="9" t="n">
        <f aca="false">L213-$W$4</f>
        <v>-0.54085709002114</v>
      </c>
      <c r="X219" s="9" t="n">
        <f aca="false">M213-$X$4</f>
        <v>2.10425107390119</v>
      </c>
      <c r="Y219" s="9" t="n">
        <f aca="false">N213-$Y$4</f>
        <v>-1.49524144622203</v>
      </c>
      <c r="Z219" s="9" t="n">
        <f aca="false">O213-$Z$4</f>
        <v>-1.7509936507224</v>
      </c>
      <c r="AA219" s="9" t="n">
        <f aca="false">P213-$AA$4</f>
        <v>0.311511290276925</v>
      </c>
      <c r="AB219" s="9" t="n">
        <f aca="false">Q213-$AB$4</f>
        <v>-1.87982044887951</v>
      </c>
    </row>
    <row r="220" customFormat="false" ht="15.75" hidden="false" customHeight="false" outlineLevel="0" collapsed="false">
      <c r="A220" s="7" t="n">
        <v>45609</v>
      </c>
      <c r="B220" s="1" t="n">
        <v>135.99</v>
      </c>
      <c r="C220" s="9" t="n">
        <v>4150.35</v>
      </c>
      <c r="D220" s="9" t="n">
        <v>2798.95</v>
      </c>
      <c r="E220" s="8" t="n">
        <v>2235.25</v>
      </c>
      <c r="F220" s="9" t="n">
        <v>1550.45</v>
      </c>
      <c r="G220" s="11" t="n">
        <v>1356</v>
      </c>
      <c r="H220" s="12" t="n">
        <v>0.712569638</v>
      </c>
      <c r="I220" s="12"/>
      <c r="J220" s="12"/>
      <c r="K220" s="8" t="n">
        <f aca="false">((B220-B219)/B219)*100</f>
        <v>-2.01743641472727</v>
      </c>
      <c r="L220" s="8" t="n">
        <f aca="false">((C220-C219)/C219)*100</f>
        <v>-1.12093200552721</v>
      </c>
      <c r="M220" s="8" t="n">
        <f aca="false">((D220-D219)/D219)*100</f>
        <v>-3.43620085905023</v>
      </c>
      <c r="N220" s="8" t="n">
        <f aca="false">((E220-E219)/E219)*100</f>
        <v>-0.928552433294913</v>
      </c>
      <c r="O220" s="8" t="n">
        <f aca="false">((F220-F219)/F219)*100</f>
        <v>-0.334265419599527</v>
      </c>
      <c r="P220" s="8" t="n">
        <f aca="false">((G220-G219)/G219)*100</f>
        <v>-0.77927779607069</v>
      </c>
      <c r="Q220" s="8" t="n">
        <f aca="false">((H220-H219)/H219)*100</f>
        <v>15.0447603488168</v>
      </c>
      <c r="S220" s="9"/>
      <c r="V220" s="9" t="n">
        <f aca="false">K214-$V$4</f>
        <v>1.30151952735251</v>
      </c>
      <c r="W220" s="9" t="n">
        <f aca="false">L214-$W$4</f>
        <v>0.144008538758079</v>
      </c>
      <c r="X220" s="9" t="n">
        <f aca="false">M214-$X$4</f>
        <v>0.288683697029666</v>
      </c>
      <c r="Y220" s="9" t="n">
        <f aca="false">N214-$Y$4</f>
        <v>0.809940313319429</v>
      </c>
      <c r="Z220" s="9" t="n">
        <f aca="false">O214-$Z$4</f>
        <v>-0.9995630709193</v>
      </c>
      <c r="AA220" s="9" t="n">
        <f aca="false">P214-$AA$4</f>
        <v>0.212408027386335</v>
      </c>
      <c r="AB220" s="9" t="n">
        <f aca="false">Q214-$AB$4</f>
        <v>-0.704286143686999</v>
      </c>
    </row>
    <row r="221" customFormat="false" ht="15.75" hidden="false" customHeight="false" outlineLevel="0" collapsed="false">
      <c r="A221" s="7" t="n">
        <v>45610</v>
      </c>
      <c r="B221" s="1" t="n">
        <v>134.76</v>
      </c>
      <c r="C221" s="9" t="n">
        <v>4145.9</v>
      </c>
      <c r="D221" s="9" t="n">
        <v>2807.2</v>
      </c>
      <c r="E221" s="8" t="n">
        <v>2182.8</v>
      </c>
      <c r="F221" s="9" t="n">
        <v>1550.5</v>
      </c>
      <c r="G221" s="11" t="n">
        <v>1346.65</v>
      </c>
      <c r="H221" s="12" t="n">
        <v>0.691178582</v>
      </c>
      <c r="I221" s="12"/>
      <c r="J221" s="12"/>
      <c r="K221" s="8" t="n">
        <f aca="false">((B221-B220)/B220)*100</f>
        <v>-0.904478270461077</v>
      </c>
      <c r="L221" s="8" t="n">
        <f aca="false">((C221-C220)/C220)*100</f>
        <v>-0.107219873022775</v>
      </c>
      <c r="M221" s="8" t="n">
        <f aca="false">((D221-D220)/D220)*100</f>
        <v>0.294753389663981</v>
      </c>
      <c r="N221" s="8" t="n">
        <f aca="false">((E221-E220)/E220)*100</f>
        <v>-2.34649368079632</v>
      </c>
      <c r="O221" s="8" t="n">
        <f aca="false">((F221-F220)/F220)*100</f>
        <v>0.00322487019897156</v>
      </c>
      <c r="P221" s="8" t="n">
        <f aca="false">((G221-G220)/G220)*100</f>
        <v>-0.689528023598813</v>
      </c>
      <c r="Q221" s="8" t="n">
        <f aca="false">((H221-H220)/H220)*100</f>
        <v>-3.00196006948024</v>
      </c>
      <c r="S221" s="9"/>
      <c r="V221" s="9" t="n">
        <f aca="false">K215-$V$4</f>
        <v>2.66148385291214</v>
      </c>
      <c r="W221" s="9" t="n">
        <f aca="false">L215-$W$4</f>
        <v>4.20023432584698</v>
      </c>
      <c r="X221" s="9" t="n">
        <f aca="false">M215-$X$4</f>
        <v>0.961800809497322</v>
      </c>
      <c r="Y221" s="9" t="n">
        <f aca="false">N215-$Y$4</f>
        <v>0.667724588936201</v>
      </c>
      <c r="Z221" s="9" t="n">
        <f aca="false">O215-$Z$4</f>
        <v>1.10042621890016</v>
      </c>
      <c r="AA221" s="9" t="n">
        <f aca="false">P215-$AA$4</f>
        <v>-0.826716731253185</v>
      </c>
      <c r="AB221" s="9" t="n">
        <f aca="false">Q215-$AB$4</f>
        <v>1.29523411221837</v>
      </c>
    </row>
    <row r="222" customFormat="false" ht="15.75" hidden="false" customHeight="false" outlineLevel="0" collapsed="false">
      <c r="A222" s="7" t="n">
        <v>45614</v>
      </c>
      <c r="B222" s="1" t="n">
        <v>134.14</v>
      </c>
      <c r="C222" s="9" t="n">
        <v>4019.5</v>
      </c>
      <c r="D222" s="9" t="n">
        <v>2846.9</v>
      </c>
      <c r="E222" s="8" t="n">
        <v>2213.2</v>
      </c>
      <c r="F222" s="9" t="n">
        <v>1537</v>
      </c>
      <c r="G222" s="11" t="n">
        <v>1337.65</v>
      </c>
      <c r="H222" s="12" t="n">
        <v>1.060223728</v>
      </c>
      <c r="I222" s="12"/>
      <c r="J222" s="12"/>
      <c r="K222" s="8" t="n">
        <f aca="false">((B222-B221)/B221)*100</f>
        <v>-0.460077174235682</v>
      </c>
      <c r="L222" s="8" t="n">
        <f aca="false">((C222-C221)/C221)*100</f>
        <v>-3.04879519525313</v>
      </c>
      <c r="M222" s="8" t="n">
        <f aca="false">((D222-D221)/D221)*100</f>
        <v>1.41422057566259</v>
      </c>
      <c r="N222" s="8" t="n">
        <f aca="false">((E222-E221)/E221)*100</f>
        <v>1.39270661535641</v>
      </c>
      <c r="O222" s="8" t="n">
        <f aca="false">((F222-F221)/F221)*100</f>
        <v>-0.870686875201548</v>
      </c>
      <c r="P222" s="8" t="n">
        <f aca="false">((G222-G221)/G221)*100</f>
        <v>-0.668325103033453</v>
      </c>
      <c r="Q222" s="8" t="n">
        <f aca="false">((H222-H221)/H221)*100</f>
        <v>53.3936026970234</v>
      </c>
      <c r="S222" s="9"/>
      <c r="V222" s="9" t="n">
        <f aca="false">K216-$V$4</f>
        <v>-0.362579006597141</v>
      </c>
      <c r="W222" s="9" t="n">
        <f aca="false">L216-$W$4</f>
        <v>0.234142804738471</v>
      </c>
      <c r="X222" s="9" t="n">
        <f aca="false">M216-$X$4</f>
        <v>-1.72089028866663</v>
      </c>
      <c r="Y222" s="9" t="n">
        <f aca="false">N216-$Y$4</f>
        <v>-0.473795516677645</v>
      </c>
      <c r="Z222" s="9" t="n">
        <f aca="false">O216-$Z$4</f>
        <v>-1.63060076395735</v>
      </c>
      <c r="AA222" s="9" t="n">
        <f aca="false">P216-$AA$4</f>
        <v>0.752141219957949</v>
      </c>
      <c r="AB222" s="9" t="n">
        <f aca="false">Q216-$AB$4</f>
        <v>5.10835589398275</v>
      </c>
    </row>
    <row r="223" customFormat="false" ht="15.75" hidden="false" customHeight="false" outlineLevel="0" collapsed="false">
      <c r="A223" s="7" t="n">
        <v>45615</v>
      </c>
      <c r="B223" s="1" t="n">
        <v>133.12</v>
      </c>
      <c r="C223" s="9" t="n">
        <v>4039.55</v>
      </c>
      <c r="D223" s="9" t="n">
        <v>2948.95</v>
      </c>
      <c r="E223" s="8" t="n">
        <v>2214.15</v>
      </c>
      <c r="F223" s="9" t="n">
        <v>1525.5</v>
      </c>
      <c r="G223" s="11" t="n">
        <v>1353.35</v>
      </c>
      <c r="H223" s="12" t="n">
        <v>1.119366094</v>
      </c>
      <c r="I223" s="12"/>
      <c r="J223" s="12"/>
      <c r="K223" s="8" t="n">
        <f aca="false">((B223-B222)/B222)*100</f>
        <v>-0.760399582525706</v>
      </c>
      <c r="L223" s="8" t="n">
        <f aca="false">((C223-C222)/C222)*100</f>
        <v>0.498818260977738</v>
      </c>
      <c r="M223" s="8" t="n">
        <f aca="false">((D223-D222)/D222)*100</f>
        <v>3.58460079384593</v>
      </c>
      <c r="N223" s="8" t="n">
        <f aca="false">((E223-E222)/E222)*100</f>
        <v>0.0429242725465513</v>
      </c>
      <c r="O223" s="8" t="n">
        <f aca="false">((F223-F222)/F222)*100</f>
        <v>-0.748210800260247</v>
      </c>
      <c r="P223" s="8" t="n">
        <f aca="false">((G223-G222)/G222)*100</f>
        <v>1.17370014577803</v>
      </c>
      <c r="Q223" s="8" t="n">
        <f aca="false">((H223-H222)/H222)*100</f>
        <v>5.57829111328851</v>
      </c>
      <c r="S223" s="9"/>
      <c r="V223" s="9" t="n">
        <f aca="false">K217-$V$4</f>
        <v>-2.6875621810487</v>
      </c>
      <c r="W223" s="9" t="n">
        <f aca="false">L217-$W$4</f>
        <v>-0.131574828470411</v>
      </c>
      <c r="X223" s="9" t="n">
        <f aca="false">M217-$X$4</f>
        <v>2.64088001222138</v>
      </c>
      <c r="Y223" s="9" t="n">
        <f aca="false">N217-$Y$4</f>
        <v>1.53599579943369</v>
      </c>
      <c r="Z223" s="9" t="n">
        <f aca="false">O217-$Z$4</f>
        <v>-0.566434826329858</v>
      </c>
      <c r="AA223" s="9" t="n">
        <f aca="false">P217-$AA$4</f>
        <v>1.06317685099357</v>
      </c>
      <c r="AB223" s="9" t="n">
        <f aca="false">Q217-$AB$4</f>
        <v>1.5093877054737</v>
      </c>
    </row>
    <row r="224" customFormat="false" ht="15.75" hidden="false" customHeight="false" outlineLevel="0" collapsed="false">
      <c r="A224" s="7" t="n">
        <v>45617</v>
      </c>
      <c r="B224" s="1" t="n">
        <v>130.71</v>
      </c>
      <c r="C224" s="9" t="n">
        <v>4072.85</v>
      </c>
      <c r="D224" s="9" t="n">
        <v>2936.25</v>
      </c>
      <c r="E224" s="8" t="n">
        <v>2211.2</v>
      </c>
      <c r="F224" s="9" t="n">
        <v>1525.15</v>
      </c>
      <c r="G224" s="11" t="n">
        <v>1363.5</v>
      </c>
      <c r="H224" s="12" t="n">
        <v>1.107063129</v>
      </c>
      <c r="I224" s="12"/>
      <c r="J224" s="12"/>
      <c r="K224" s="8" t="n">
        <f aca="false">((B224-B223)/B223)*100</f>
        <v>-1.81039663461538</v>
      </c>
      <c r="L224" s="8" t="n">
        <f aca="false">((C224-C223)/C223)*100</f>
        <v>0.82434924682204</v>
      </c>
      <c r="M224" s="8" t="n">
        <f aca="false">((D224-D223)/D223)*100</f>
        <v>-0.430661760965761</v>
      </c>
      <c r="N224" s="8" t="n">
        <f aca="false">((E224-E223)/E223)*100</f>
        <v>-0.133233972404773</v>
      </c>
      <c r="O224" s="8" t="n">
        <f aca="false">((F224-F223)/F223)*100</f>
        <v>-0.0229432972795745</v>
      </c>
      <c r="P224" s="8" t="n">
        <f aca="false">((G224-G223)/G223)*100</f>
        <v>0.749990763660553</v>
      </c>
      <c r="Q224" s="8" t="n">
        <f aca="false">((H224-H223)/H223)*100</f>
        <v>-1.09910109533836</v>
      </c>
      <c r="S224" s="9"/>
      <c r="V224" s="9" t="n">
        <f aca="false">K218-$V$4</f>
        <v>-0.69290730913587</v>
      </c>
      <c r="W224" s="9" t="n">
        <f aca="false">L218-$W$4</f>
        <v>1.20906504937908</v>
      </c>
      <c r="X224" s="9" t="n">
        <f aca="false">M218-$X$4</f>
        <v>-1.73789929468608</v>
      </c>
      <c r="Y224" s="9" t="n">
        <f aca="false">N218-$Y$4</f>
        <v>-0.636610470867923</v>
      </c>
      <c r="Z224" s="9" t="n">
        <f aca="false">O218-$Z$4</f>
        <v>-0.787601166020163</v>
      </c>
      <c r="AA224" s="9" t="n">
        <f aca="false">P218-$AA$4</f>
        <v>-1.01331660408842</v>
      </c>
      <c r="AB224" s="9" t="n">
        <f aca="false">Q218-$AB$4</f>
        <v>5.64944001898289</v>
      </c>
    </row>
    <row r="225" customFormat="false" ht="15.75" hidden="false" customHeight="false" outlineLevel="0" collapsed="false">
      <c r="A225" s="7" t="n">
        <v>45618</v>
      </c>
      <c r="B225" s="1" t="n">
        <v>132.61</v>
      </c>
      <c r="C225" s="9" t="n">
        <v>4244.6</v>
      </c>
      <c r="D225" s="9" t="n">
        <v>3012.95</v>
      </c>
      <c r="E225" s="8" t="n">
        <v>2247.3</v>
      </c>
      <c r="F225" s="9" t="n">
        <v>1569.3</v>
      </c>
      <c r="G225" s="11" t="n">
        <v>1352.35</v>
      </c>
      <c r="H225" s="12" t="n">
        <v>1.232390955</v>
      </c>
      <c r="I225" s="12"/>
      <c r="J225" s="12"/>
      <c r="K225" s="8" t="n">
        <f aca="false">((B225-B224)/B224)*100</f>
        <v>1.45359957157066</v>
      </c>
      <c r="L225" s="8" t="n">
        <f aca="false">((C225-C224)/C224)*100</f>
        <v>4.21694881962264</v>
      </c>
      <c r="M225" s="8" t="n">
        <f aca="false">((D225-D224)/D224)*100</f>
        <v>2.61217539378458</v>
      </c>
      <c r="N225" s="8" t="n">
        <f aca="false">((E225-E224)/E224)*100</f>
        <v>1.63259768451521</v>
      </c>
      <c r="O225" s="8" t="n">
        <f aca="false">((F225-F224)/F224)*100</f>
        <v>2.89479723305903</v>
      </c>
      <c r="P225" s="8" t="n">
        <f aca="false">((G225-G224)/G224)*100</f>
        <v>-0.817748441510824</v>
      </c>
      <c r="Q225" s="8" t="n">
        <f aca="false">((H225-H224)/H224)*100</f>
        <v>11.320747906509</v>
      </c>
      <c r="S225" s="9"/>
      <c r="V225" s="9" t="n">
        <f aca="false">K219-$V$4</f>
        <v>-0.50349374663277</v>
      </c>
      <c r="W225" s="9" t="n">
        <f aca="false">L219-$W$4</f>
        <v>-0.0685812651711016</v>
      </c>
      <c r="X225" s="9" t="n">
        <f aca="false">M219-$X$4</f>
        <v>-1.34240631298981</v>
      </c>
      <c r="Y225" s="9" t="n">
        <f aca="false">N219-$Y$4</f>
        <v>-0.916114462431568</v>
      </c>
      <c r="Z225" s="9" t="n">
        <f aca="false">O219-$Z$4</f>
        <v>-0.50601369160027</v>
      </c>
      <c r="AA225" s="9" t="n">
        <f aca="false">P219-$AA$4</f>
        <v>-0.587732239915504</v>
      </c>
      <c r="AB225" s="9" t="n">
        <f aca="false">Q219-$AB$4</f>
        <v>4.40112623393835</v>
      </c>
    </row>
    <row r="226" customFormat="false" ht="15.75" hidden="false" customHeight="false" outlineLevel="0" collapsed="false">
      <c r="A226" s="7" t="n">
        <v>45621</v>
      </c>
      <c r="B226" s="1" t="n">
        <v>136.4</v>
      </c>
      <c r="C226" s="9" t="n">
        <v>4315.1</v>
      </c>
      <c r="D226" s="9" t="n">
        <v>3045.6</v>
      </c>
      <c r="E226" s="8" t="n">
        <v>2256.95</v>
      </c>
      <c r="F226" s="9" t="n">
        <v>1578.75</v>
      </c>
      <c r="G226" s="11" t="n">
        <v>1355</v>
      </c>
      <c r="H226" s="12" t="n">
        <v>1.431679285</v>
      </c>
      <c r="I226" s="12"/>
      <c r="J226" s="12"/>
      <c r="K226" s="8" t="n">
        <f aca="false">((B226-B225)/B225)*100</f>
        <v>2.85800467536384</v>
      </c>
      <c r="L226" s="8" t="n">
        <f aca="false">((C226-C225)/C225)*100</f>
        <v>1.66093389247514</v>
      </c>
      <c r="M226" s="8" t="n">
        <f aca="false">((D226-D225)/D225)*100</f>
        <v>1.08365555352728</v>
      </c>
      <c r="N226" s="8" t="n">
        <f aca="false">((E226-E225)/E225)*100</f>
        <v>0.42940417389755</v>
      </c>
      <c r="O226" s="8" t="n">
        <f aca="false">((F226-F225)/F225)*100</f>
        <v>0.602179315618432</v>
      </c>
      <c r="P226" s="8" t="n">
        <f aca="false">((G226-G225)/G225)*100</f>
        <v>0.195955189115251</v>
      </c>
      <c r="Q226" s="8" t="n">
        <f aca="false">((H226-H225)/H225)*100</f>
        <v>16.1708692514706</v>
      </c>
      <c r="S226" s="9"/>
      <c r="V226" s="9" t="n">
        <f aca="false">K220-$V$4</f>
        <v>-2.06191847090604</v>
      </c>
      <c r="W226" s="9" t="n">
        <f aca="false">L220-$W$4</f>
        <v>-1.15855130628075</v>
      </c>
      <c r="X226" s="9" t="n">
        <f aca="false">M220-$X$4</f>
        <v>-3.68497446883933</v>
      </c>
      <c r="Y226" s="9" t="n">
        <f aca="false">N220-$Y$4</f>
        <v>-0.842056158796604</v>
      </c>
      <c r="Z226" s="9" t="n">
        <f aca="false">O220-$Z$4</f>
        <v>-0.526287249356225</v>
      </c>
      <c r="AA226" s="9" t="n">
        <f aca="false">P220-$AA$4</f>
        <v>-0.759737308713474</v>
      </c>
      <c r="AB226" s="9" t="n">
        <f aca="false">Q220-$AB$4</f>
        <v>14.3655026324137</v>
      </c>
    </row>
    <row r="227" customFormat="false" ht="15.75" hidden="false" customHeight="false" outlineLevel="0" collapsed="false">
      <c r="A227" s="7" t="n">
        <v>45622</v>
      </c>
      <c r="B227" s="1" t="n">
        <v>136.96</v>
      </c>
      <c r="C227" s="9" t="n">
        <v>4352.7</v>
      </c>
      <c r="D227" s="9" t="n">
        <v>2985.2</v>
      </c>
      <c r="E227" s="8" t="n">
        <v>2265.25</v>
      </c>
      <c r="F227" s="9" t="n">
        <v>1577.25</v>
      </c>
      <c r="G227" s="11" t="n">
        <v>1361</v>
      </c>
      <c r="H227" s="12" t="n">
        <v>1.413864314</v>
      </c>
      <c r="I227" s="12"/>
      <c r="J227" s="12"/>
      <c r="K227" s="8" t="n">
        <f aca="false">((B227-B226)/B226)*100</f>
        <v>0.410557184750735</v>
      </c>
      <c r="L227" s="8" t="n">
        <f aca="false">((C227-C226)/C226)*100</f>
        <v>0.871358717063323</v>
      </c>
      <c r="M227" s="8" t="n">
        <f aca="false">((D227-D226)/D226)*100</f>
        <v>-1.98318886262149</v>
      </c>
      <c r="N227" s="8" t="n">
        <f aca="false">((E227-E226)/E226)*100</f>
        <v>0.367752940915846</v>
      </c>
      <c r="O227" s="8" t="n">
        <f aca="false">((F227-F226)/F226)*100</f>
        <v>-0.0950118764845606</v>
      </c>
      <c r="P227" s="8" t="n">
        <f aca="false">((G227-G226)/G226)*100</f>
        <v>0.44280442804428</v>
      </c>
      <c r="Q227" s="8" t="n">
        <f aca="false">((H227-H226)/H226)*100</f>
        <v>-1.24434090697903</v>
      </c>
      <c r="S227" s="9"/>
      <c r="V227" s="9" t="n">
        <f aca="false">K221-$V$4</f>
        <v>-0.948960326639845</v>
      </c>
      <c r="W227" s="9" t="n">
        <f aca="false">L221-$W$4</f>
        <v>-0.144839173776314</v>
      </c>
      <c r="X227" s="9" t="n">
        <f aca="false">M221-$X$4</f>
        <v>0.0459797798748738</v>
      </c>
      <c r="Y227" s="9" t="n">
        <f aca="false">N221-$Y$4</f>
        <v>-2.25999740629801</v>
      </c>
      <c r="Z227" s="9" t="n">
        <f aca="false">O221-$Z$4</f>
        <v>-0.188796959557726</v>
      </c>
      <c r="AA227" s="9" t="n">
        <f aca="false">P221-$AA$4</f>
        <v>-0.669987536241597</v>
      </c>
      <c r="AB227" s="9" t="n">
        <f aca="false">Q221-$AB$4</f>
        <v>-3.68121778588339</v>
      </c>
    </row>
    <row r="228" customFormat="false" ht="15.75" hidden="false" customHeight="false" outlineLevel="0" collapsed="false">
      <c r="A228" s="7" t="n">
        <v>45623</v>
      </c>
      <c r="B228" s="1" t="n">
        <v>139</v>
      </c>
      <c r="C228" s="9" t="n">
        <v>4332.55</v>
      </c>
      <c r="D228" s="9" t="n">
        <v>3004.8</v>
      </c>
      <c r="E228" s="8" t="n">
        <v>2273.95</v>
      </c>
      <c r="F228" s="9" t="n">
        <v>1577.65</v>
      </c>
      <c r="G228" s="11" t="n">
        <v>1354</v>
      </c>
      <c r="H228" s="12" t="n">
        <v>1.399545066</v>
      </c>
      <c r="I228" s="12"/>
      <c r="J228" s="12"/>
      <c r="K228" s="8" t="n">
        <f aca="false">((B228-B227)/B227)*100</f>
        <v>1.48948598130841</v>
      </c>
      <c r="L228" s="8" t="n">
        <f aca="false">((C228-C227)/C227)*100</f>
        <v>-0.462931054288135</v>
      </c>
      <c r="M228" s="8" t="n">
        <f aca="false">((D228-D227)/D227)*100</f>
        <v>0.656572423958206</v>
      </c>
      <c r="N228" s="8" t="n">
        <f aca="false">((E228-E227)/E227)*100</f>
        <v>0.384063569142471</v>
      </c>
      <c r="O228" s="8" t="n">
        <f aca="false">((F228-F227)/F227)*100</f>
        <v>0.0253605959740112</v>
      </c>
      <c r="P228" s="8" t="n">
        <f aca="false">((G228-G227)/G227)*100</f>
        <v>-0.514327700220426</v>
      </c>
      <c r="Q228" s="8" t="n">
        <f aca="false">((H228-H227)/H227)*100</f>
        <v>-1.01277384669885</v>
      </c>
      <c r="S228" s="9"/>
      <c r="V228" s="9" t="n">
        <f aca="false">K222-$V$4</f>
        <v>-0.50455923041445</v>
      </c>
      <c r="W228" s="9" t="n">
        <f aca="false">L222-$W$4</f>
        <v>-3.08641449600667</v>
      </c>
      <c r="X228" s="9" t="n">
        <f aca="false">M222-$X$4</f>
        <v>1.16544696587348</v>
      </c>
      <c r="Y228" s="9" t="n">
        <f aca="false">N222-$Y$4</f>
        <v>1.47920288985472</v>
      </c>
      <c r="Z228" s="9" t="n">
        <f aca="false">O222-$Z$4</f>
        <v>-1.06270870495825</v>
      </c>
      <c r="AA228" s="9" t="n">
        <f aca="false">P222-$AA$4</f>
        <v>-0.648784615676237</v>
      </c>
      <c r="AB228" s="9" t="n">
        <f aca="false">Q222-$AB$4</f>
        <v>52.7143449806202</v>
      </c>
    </row>
    <row r="229" customFormat="false" ht="15.75" hidden="false" customHeight="false" outlineLevel="0" collapsed="false">
      <c r="A229" s="7" t="n">
        <v>45624</v>
      </c>
      <c r="B229" s="1" t="n">
        <v>137.75</v>
      </c>
      <c r="C229" s="9" t="n">
        <v>4244.9</v>
      </c>
      <c r="D229" s="9" t="n">
        <v>2898.7</v>
      </c>
      <c r="E229" s="8" t="n">
        <v>2236.25</v>
      </c>
      <c r="F229" s="9" t="n">
        <v>1560.4</v>
      </c>
      <c r="G229" s="11" t="n">
        <v>1361.5</v>
      </c>
      <c r="H229" s="12" t="n">
        <v>1.472373215</v>
      </c>
      <c r="I229" s="12"/>
      <c r="J229" s="12"/>
      <c r="K229" s="8" t="n">
        <f aca="false">((B229-B228)/B228)*100</f>
        <v>-0.899280575539568</v>
      </c>
      <c r="L229" s="8" t="n">
        <f aca="false">((C229-C228)/C228)*100</f>
        <v>-2.02305801433337</v>
      </c>
      <c r="M229" s="8" t="n">
        <f aca="false">((D229-D228)/D228)*100</f>
        <v>-3.53101703940363</v>
      </c>
      <c r="N229" s="8" t="n">
        <f aca="false">((E229-E228)/E228)*100</f>
        <v>-1.65790804547153</v>
      </c>
      <c r="O229" s="8" t="n">
        <f aca="false">((F229-F228)/F228)*100</f>
        <v>-1.09339840902608</v>
      </c>
      <c r="P229" s="8" t="n">
        <f aca="false">((G229-G228)/G228)*100</f>
        <v>0.553914327917282</v>
      </c>
      <c r="Q229" s="8" t="n">
        <f aca="false">((H229-H228)/H228)*100</f>
        <v>5.20370160055996</v>
      </c>
      <c r="S229" s="9"/>
      <c r="V229" s="9" t="n">
        <f aca="false">K223-$V$4</f>
        <v>-0.804881638704474</v>
      </c>
      <c r="W229" s="9" t="n">
        <f aca="false">L223-$W$4</f>
        <v>0.461198960224199</v>
      </c>
      <c r="X229" s="9" t="n">
        <f aca="false">M223-$X$4</f>
        <v>3.33582718405682</v>
      </c>
      <c r="Y229" s="9" t="n">
        <f aca="false">N223-$Y$4</f>
        <v>0.12942054704486</v>
      </c>
      <c r="Z229" s="9" t="n">
        <f aca="false">O223-$Z$4</f>
        <v>-0.940232630016945</v>
      </c>
      <c r="AA229" s="9" t="n">
        <f aca="false">P223-$AA$4</f>
        <v>1.19324063313525</v>
      </c>
      <c r="AB229" s="9" t="n">
        <f aca="false">Q223-$AB$4</f>
        <v>4.89903339688536</v>
      </c>
    </row>
    <row r="230" customFormat="false" ht="15.75" hidden="false" customHeight="false" outlineLevel="0" collapsed="false">
      <c r="A230" s="7" t="n">
        <v>45625</v>
      </c>
      <c r="B230" s="1" t="n">
        <v>138.63</v>
      </c>
      <c r="C230" s="9" t="n">
        <v>4270.85</v>
      </c>
      <c r="D230" s="9" t="n">
        <v>2966.1</v>
      </c>
      <c r="E230" s="8" t="n">
        <v>2234.65</v>
      </c>
      <c r="F230" s="9" t="n">
        <v>1627.15</v>
      </c>
      <c r="G230" s="11" t="n">
        <v>1361.65</v>
      </c>
      <c r="H230" s="12" t="n">
        <v>1.532175382</v>
      </c>
      <c r="I230" s="12"/>
      <c r="J230" s="12"/>
      <c r="K230" s="8" t="n">
        <f aca="false">((B230-B229)/B229)*100</f>
        <v>0.638838475499089</v>
      </c>
      <c r="L230" s="8" t="n">
        <f aca="false">((C230-C229)/C229)*100</f>
        <v>0.611321821479911</v>
      </c>
      <c r="M230" s="8" t="n">
        <f aca="false">((D230-D229)/D229)*100</f>
        <v>2.32518025321696</v>
      </c>
      <c r="N230" s="8" t="n">
        <f aca="false">((E230-E229)/E229)*100</f>
        <v>-0.0715483510340932</v>
      </c>
      <c r="O230" s="8" t="n">
        <f aca="false">((F230-F229)/F229)*100</f>
        <v>4.27774929505255</v>
      </c>
      <c r="P230" s="8" t="n">
        <f aca="false">((G230-G229)/G229)*100</f>
        <v>0.0110172603745935</v>
      </c>
      <c r="Q230" s="8" t="n">
        <f aca="false">((H230-H229)/H229)*100</f>
        <v>4.06161742082492</v>
      </c>
      <c r="S230" s="9"/>
      <c r="V230" s="9" t="n">
        <f aca="false">K224-$V$4</f>
        <v>-1.85487869079415</v>
      </c>
      <c r="W230" s="9" t="n">
        <f aca="false">L224-$W$4</f>
        <v>0.786729946068501</v>
      </c>
      <c r="X230" s="9" t="n">
        <f aca="false">M224-$X$4</f>
        <v>-0.679435370754869</v>
      </c>
      <c r="Y230" s="9" t="n">
        <f aca="false">N224-$Y$4</f>
        <v>-0.0467376979064638</v>
      </c>
      <c r="Z230" s="9" t="n">
        <f aca="false">O224-$Z$4</f>
        <v>-0.214965127036272</v>
      </c>
      <c r="AA230" s="9" t="n">
        <f aca="false">P224-$AA$4</f>
        <v>0.76953125101777</v>
      </c>
      <c r="AB230" s="9" t="n">
        <f aca="false">Q224-$AB$4</f>
        <v>-1.7783588117415</v>
      </c>
    </row>
    <row r="231" customFormat="false" ht="15.75" hidden="false" customHeight="false" outlineLevel="0" collapsed="false">
      <c r="A231" s="7" t="n">
        <v>45628</v>
      </c>
      <c r="B231" s="1" t="n">
        <v>137.65</v>
      </c>
      <c r="C231" s="9" t="n">
        <v>4276.65</v>
      </c>
      <c r="D231" s="9" t="n">
        <v>3016.4</v>
      </c>
      <c r="E231" s="8" t="n">
        <v>2251.85</v>
      </c>
      <c r="F231" s="9" t="n">
        <v>1643.6</v>
      </c>
      <c r="G231" s="11" t="n">
        <v>1356</v>
      </c>
      <c r="H231" s="12" t="n">
        <v>2.286339589</v>
      </c>
      <c r="I231" s="12"/>
      <c r="J231" s="12"/>
      <c r="K231" s="8" t="n">
        <f aca="false">((B231-B230)/B230)*100</f>
        <v>-0.706917694582695</v>
      </c>
      <c r="L231" s="8" t="n">
        <f aca="false">((C231-C230)/C230)*100</f>
        <v>0.135804348080576</v>
      </c>
      <c r="M231" s="8" t="n">
        <f aca="false">((D231-D230)/D230)*100</f>
        <v>1.69582954047403</v>
      </c>
      <c r="N231" s="8" t="n">
        <f aca="false">((E231-E230)/E230)*100</f>
        <v>0.769695478039058</v>
      </c>
      <c r="O231" s="8" t="n">
        <f aca="false">((F231-F230)/F230)*100</f>
        <v>1.010970101097</v>
      </c>
      <c r="P231" s="8" t="n">
        <f aca="false">((G231-G230)/G230)*100</f>
        <v>-0.414937759336106</v>
      </c>
      <c r="Q231" s="8" t="n">
        <f aca="false">((H231-H230)/H230)*100</f>
        <v>49.2217937880952</v>
      </c>
      <c r="S231" s="9"/>
      <c r="V231" s="9" t="n">
        <f aca="false">K225-$V$4</f>
        <v>1.40911751539189</v>
      </c>
      <c r="W231" s="9" t="n">
        <f aca="false">L225-$W$4</f>
        <v>4.1793295188691</v>
      </c>
      <c r="X231" s="9" t="n">
        <f aca="false">M225-$X$4</f>
        <v>2.36340178399548</v>
      </c>
      <c r="Y231" s="9" t="n">
        <f aca="false">N225-$Y$4</f>
        <v>1.71909395901352</v>
      </c>
      <c r="Z231" s="9" t="n">
        <f aca="false">O225-$Z$4</f>
        <v>2.70277540330234</v>
      </c>
      <c r="AA231" s="9" t="n">
        <f aca="false">P225-$AA$4</f>
        <v>-0.798207954153608</v>
      </c>
      <c r="AB231" s="9" t="n">
        <f aca="false">Q225-$AB$4</f>
        <v>10.6414901901058</v>
      </c>
    </row>
    <row r="232" customFormat="false" ht="15.75" hidden="false" customHeight="false" outlineLevel="0" collapsed="false">
      <c r="A232" s="7" t="n">
        <v>45629</v>
      </c>
      <c r="B232" s="1" t="n">
        <v>139.51</v>
      </c>
      <c r="C232" s="9" t="n">
        <v>4302.75</v>
      </c>
      <c r="D232" s="9" t="n">
        <v>3027.3</v>
      </c>
      <c r="E232" s="8" t="n">
        <v>2261.7</v>
      </c>
      <c r="F232" s="9" t="n">
        <v>1620.55</v>
      </c>
      <c r="G232" s="11" t="n">
        <v>1356.65</v>
      </c>
      <c r="H232" s="12" t="n">
        <v>2.708847475</v>
      </c>
      <c r="I232" s="12"/>
      <c r="J232" s="12"/>
      <c r="K232" s="8" t="n">
        <f aca="false">((B232-B231)/B231)*100</f>
        <v>1.35125317835088</v>
      </c>
      <c r="L232" s="8" t="n">
        <f aca="false">((C232-C231)/C231)*100</f>
        <v>0.610290764967916</v>
      </c>
      <c r="M232" s="8" t="n">
        <f aca="false">((D232-D231)/D231)*100</f>
        <v>0.361357910091503</v>
      </c>
      <c r="N232" s="8" t="n">
        <f aca="false">((E232-E231)/E231)*100</f>
        <v>0.437418122876742</v>
      </c>
      <c r="O232" s="8" t="n">
        <f aca="false">((F232-F231)/F231)*100</f>
        <v>-1.4024093453395</v>
      </c>
      <c r="P232" s="8" t="n">
        <f aca="false">((G232-G231)/G231)*100</f>
        <v>0.0479351032448445</v>
      </c>
      <c r="Q232" s="8" t="n">
        <f aca="false">((H232-H231)/H231)*100</f>
        <v>18.4796645272104</v>
      </c>
      <c r="S232" s="9"/>
      <c r="V232" s="9" t="n">
        <f aca="false">K226-$V$4</f>
        <v>2.81352261918507</v>
      </c>
      <c r="W232" s="9" t="n">
        <f aca="false">L226-$W$4</f>
        <v>1.62331459172161</v>
      </c>
      <c r="X232" s="9" t="n">
        <f aca="false">M226-$X$4</f>
        <v>0.83488194373817</v>
      </c>
      <c r="Y232" s="9" t="n">
        <f aca="false">N226-$Y$4</f>
        <v>0.515900448395859</v>
      </c>
      <c r="Z232" s="9" t="n">
        <f aca="false">O226-$Z$4</f>
        <v>0.410157485861734</v>
      </c>
      <c r="AA232" s="9" t="n">
        <f aca="false">P226-$AA$4</f>
        <v>0.215495676472467</v>
      </c>
      <c r="AB232" s="9" t="n">
        <f aca="false">Q226-$AB$4</f>
        <v>15.4916115350675</v>
      </c>
    </row>
    <row r="233" customFormat="false" ht="15.75" hidden="false" customHeight="false" outlineLevel="0" collapsed="false">
      <c r="A233" s="7" t="n">
        <v>45630</v>
      </c>
      <c r="B233" s="1" t="n">
        <v>139.86</v>
      </c>
      <c r="C233" s="9" t="n">
        <v>4354.4</v>
      </c>
      <c r="D233" s="9" t="n">
        <v>3031.75</v>
      </c>
      <c r="E233" s="8" t="n">
        <v>2257.8</v>
      </c>
      <c r="F233" s="9" t="n">
        <v>1584.1</v>
      </c>
      <c r="G233" s="11" t="n">
        <v>1375.65</v>
      </c>
      <c r="H233" s="12" t="n">
        <v>2.531924097</v>
      </c>
      <c r="I233" s="12"/>
      <c r="J233" s="12"/>
      <c r="K233" s="8" t="n">
        <f aca="false">((B233-B232)/B232)*100</f>
        <v>0.250878073256414</v>
      </c>
      <c r="L233" s="8" t="n">
        <f aca="false">((C233-C232)/C232)*100</f>
        <v>1.20039509615942</v>
      </c>
      <c r="M233" s="8" t="n">
        <f aca="false">((D233-D232)/D232)*100</f>
        <v>0.146995672711651</v>
      </c>
      <c r="N233" s="8" t="n">
        <f aca="false">((E233-E232)/E232)*100</f>
        <v>-0.172436662687343</v>
      </c>
      <c r="O233" s="8" t="n">
        <f aca="false">((F233-F232)/F232)*100</f>
        <v>-2.24923637036809</v>
      </c>
      <c r="P233" s="8" t="n">
        <f aca="false">((G233-G232)/G232)*100</f>
        <v>1.40050860575683</v>
      </c>
      <c r="Q233" s="8" t="n">
        <f aca="false">((H233-H232)/H232)*100</f>
        <v>-6.53131561052546</v>
      </c>
      <c r="S233" s="9"/>
      <c r="V233" s="9" t="n">
        <f aca="false">K227-$V$4</f>
        <v>0.366075128571966</v>
      </c>
      <c r="W233" s="9" t="n">
        <f aca="false">L227-$W$4</f>
        <v>0.833739416309784</v>
      </c>
      <c r="X233" s="9" t="n">
        <f aca="false">M227-$X$4</f>
        <v>-2.2319624724106</v>
      </c>
      <c r="Y233" s="9" t="n">
        <f aca="false">N227-$Y$4</f>
        <v>0.454249215414155</v>
      </c>
      <c r="Z233" s="9" t="n">
        <f aca="false">O227-$Z$4</f>
        <v>-0.287033706241258</v>
      </c>
      <c r="AA233" s="9" t="n">
        <f aca="false">P227-$AA$4</f>
        <v>0.462344915401497</v>
      </c>
      <c r="AB233" s="9" t="n">
        <f aca="false">Q227-$AB$4</f>
        <v>-1.92359862338218</v>
      </c>
    </row>
    <row r="234" customFormat="false" ht="15.75" hidden="false" customHeight="false" outlineLevel="0" collapsed="false">
      <c r="A234" s="7" t="n">
        <v>45631</v>
      </c>
      <c r="B234" s="1" t="n">
        <v>139.44</v>
      </c>
      <c r="C234" s="9" t="n">
        <v>4464.05</v>
      </c>
      <c r="D234" s="9" t="n">
        <v>3071.6</v>
      </c>
      <c r="E234" s="8" t="n">
        <v>2265.5</v>
      </c>
      <c r="F234" s="9" t="n">
        <v>1615.35</v>
      </c>
      <c r="G234" s="11" t="n">
        <v>1368.35</v>
      </c>
      <c r="H234" s="12" t="n">
        <v>2.347633314</v>
      </c>
      <c r="I234" s="12"/>
      <c r="J234" s="12"/>
      <c r="K234" s="8" t="n">
        <f aca="false">((B234-B233)/B233)*100</f>
        <v>-0.300300300300312</v>
      </c>
      <c r="L234" s="8" t="n">
        <f aca="false">((C234-C233)/C233)*100</f>
        <v>2.51814256843654</v>
      </c>
      <c r="M234" s="8" t="n">
        <f aca="false">((D234-D233)/D233)*100</f>
        <v>1.31442236332151</v>
      </c>
      <c r="N234" s="8" t="n">
        <f aca="false">((E234-E233)/E233)*100</f>
        <v>0.341039950394181</v>
      </c>
      <c r="O234" s="8" t="n">
        <f aca="false">((F234-F233)/F233)*100</f>
        <v>1.97272899438167</v>
      </c>
      <c r="P234" s="8" t="n">
        <f aca="false">((G234-G233)/G233)*100</f>
        <v>-0.530658234289258</v>
      </c>
      <c r="Q234" s="8" t="n">
        <f aca="false">((H234-H233)/H233)*100</f>
        <v>-7.27868513982551</v>
      </c>
      <c r="S234" s="9"/>
      <c r="V234" s="9" t="n">
        <f aca="false">K228-$V$4</f>
        <v>1.44500392512964</v>
      </c>
      <c r="W234" s="9" t="n">
        <f aca="false">L228-$W$4</f>
        <v>-0.500550355041674</v>
      </c>
      <c r="X234" s="9" t="n">
        <f aca="false">M228-$X$4</f>
        <v>0.407798814169099</v>
      </c>
      <c r="Y234" s="9" t="n">
        <f aca="false">N228-$Y$4</f>
        <v>0.47055984364078</v>
      </c>
      <c r="Z234" s="9" t="n">
        <f aca="false">O228-$Z$4</f>
        <v>-0.166661233782687</v>
      </c>
      <c r="AA234" s="9" t="n">
        <f aca="false">P228-$AA$4</f>
        <v>-0.49478721286321</v>
      </c>
      <c r="AB234" s="9" t="n">
        <f aca="false">Q228-$AB$4</f>
        <v>-1.692031563102</v>
      </c>
    </row>
    <row r="235" customFormat="false" ht="15.75" hidden="false" customHeight="false" outlineLevel="0" collapsed="false">
      <c r="A235" s="7" t="n">
        <v>45632</v>
      </c>
      <c r="B235" s="1" t="n">
        <v>141.96</v>
      </c>
      <c r="C235" s="9" t="n">
        <v>4445.5</v>
      </c>
      <c r="D235" s="9" t="n">
        <v>3073</v>
      </c>
      <c r="E235" s="8" t="n">
        <v>2267.8</v>
      </c>
      <c r="F235" s="9" t="n">
        <v>1597.85</v>
      </c>
      <c r="G235" s="11" t="n">
        <v>1371</v>
      </c>
      <c r="H235" s="12" t="n">
        <v>2.254523485</v>
      </c>
      <c r="I235" s="12"/>
      <c r="J235" s="12"/>
      <c r="K235" s="8" t="n">
        <f aca="false">((B235-B234)/B234)*100</f>
        <v>1.80722891566266</v>
      </c>
      <c r="L235" s="8" t="n">
        <f aca="false">((C235-C234)/C234)*100</f>
        <v>-0.415541940614469</v>
      </c>
      <c r="M235" s="8" t="n">
        <f aca="false">((D235-D234)/D234)*100</f>
        <v>0.0455788514129474</v>
      </c>
      <c r="N235" s="8" t="n">
        <f aca="false">((E235-E234)/E234)*100</f>
        <v>0.101522842639602</v>
      </c>
      <c r="O235" s="8" t="n">
        <f aca="false">((F235-F234)/F234)*100</f>
        <v>-1.08335654811651</v>
      </c>
      <c r="P235" s="8" t="n">
        <f aca="false">((G235-G234)/G234)*100</f>
        <v>0.193663901779522</v>
      </c>
      <c r="Q235" s="8" t="n">
        <f aca="false">((H235-H234)/H234)*100</f>
        <v>-3.96611465873924</v>
      </c>
      <c r="S235" s="9"/>
      <c r="V235" s="9" t="n">
        <f aca="false">K229-$V$4</f>
        <v>-0.943762631718337</v>
      </c>
      <c r="W235" s="9" t="n">
        <f aca="false">L229-$W$4</f>
        <v>-2.06067731508691</v>
      </c>
      <c r="X235" s="9" t="n">
        <f aca="false">M229-$X$4</f>
        <v>-3.77979064919274</v>
      </c>
      <c r="Y235" s="9" t="n">
        <f aca="false">N229-$Y$4</f>
        <v>-1.57141177097322</v>
      </c>
      <c r="Z235" s="9" t="n">
        <f aca="false">O229-$Z$4</f>
        <v>-1.28542023878278</v>
      </c>
      <c r="AA235" s="9" t="n">
        <f aca="false">P229-$AA$4</f>
        <v>0.573454815274499</v>
      </c>
      <c r="AB235" s="9" t="n">
        <f aca="false">Q229-$AB$4</f>
        <v>4.52444388415682</v>
      </c>
    </row>
    <row r="236" customFormat="false" ht="15.75" hidden="false" customHeight="false" outlineLevel="0" collapsed="false">
      <c r="A236" s="7" t="n">
        <v>45635</v>
      </c>
      <c r="B236" s="1" t="n">
        <v>142.33</v>
      </c>
      <c r="C236" s="9" t="n">
        <v>4452.15</v>
      </c>
      <c r="D236" s="9" t="n">
        <v>3051.25</v>
      </c>
      <c r="E236" s="8" t="n">
        <v>2228.85</v>
      </c>
      <c r="F236" s="9" t="n">
        <v>1602.55</v>
      </c>
      <c r="G236" s="11" t="n">
        <v>1371.65</v>
      </c>
      <c r="H236" s="12" t="n">
        <v>2.618142166</v>
      </c>
      <c r="I236" s="12"/>
      <c r="J236" s="12"/>
      <c r="K236" s="8" t="n">
        <f aca="false">((B236-B235)/B235)*100</f>
        <v>0.260636799098341</v>
      </c>
      <c r="L236" s="8" t="n">
        <f aca="false">((C236-C235)/C235)*100</f>
        <v>0.149589472500273</v>
      </c>
      <c r="M236" s="8" t="n">
        <f aca="false">((D236-D235)/D235)*100</f>
        <v>-0.707777416205662</v>
      </c>
      <c r="N236" s="8" t="n">
        <f aca="false">((E236-E235)/E235)*100</f>
        <v>-1.71752359114562</v>
      </c>
      <c r="O236" s="8" t="n">
        <f aca="false">((F236-F235)/F235)*100</f>
        <v>0.294145257690024</v>
      </c>
      <c r="P236" s="8" t="n">
        <f aca="false">((G236-G235)/G235)*100</f>
        <v>0.0474106491612028</v>
      </c>
      <c r="Q236" s="8" t="n">
        <f aca="false">((H236-H235)/H235)*100</f>
        <v>16.1284051117347</v>
      </c>
      <c r="S236" s="9"/>
      <c r="V236" s="9" t="n">
        <f aca="false">K230-$V$4</f>
        <v>0.594356419320321</v>
      </c>
      <c r="W236" s="9" t="n">
        <f aca="false">L230-$W$4</f>
        <v>0.573702520726371</v>
      </c>
      <c r="X236" s="9" t="n">
        <f aca="false">M230-$X$4</f>
        <v>2.07640664342786</v>
      </c>
      <c r="Y236" s="9" t="n">
        <f aca="false">N230-$Y$4</f>
        <v>0.0149479234642156</v>
      </c>
      <c r="Z236" s="9" t="n">
        <f aca="false">O230-$Z$4</f>
        <v>4.08572746529585</v>
      </c>
      <c r="AA236" s="9" t="n">
        <f aca="false">P230-$AA$4</f>
        <v>0.0305577477318103</v>
      </c>
      <c r="AB236" s="9" t="n">
        <f aca="false">Q230-$AB$4</f>
        <v>3.38235970442177</v>
      </c>
    </row>
    <row r="237" customFormat="false" ht="15.75" hidden="false" customHeight="false" outlineLevel="0" collapsed="false">
      <c r="A237" s="7" t="n">
        <v>45636</v>
      </c>
      <c r="B237" s="1" t="n">
        <v>143.54</v>
      </c>
      <c r="C237" s="9" t="n">
        <v>4432.55</v>
      </c>
      <c r="D237" s="9" t="n">
        <v>3066.9</v>
      </c>
      <c r="E237" s="8" t="n">
        <v>2214.45</v>
      </c>
      <c r="F237" s="9" t="n">
        <v>1578.65</v>
      </c>
      <c r="G237" s="11" t="n">
        <v>1363.35</v>
      </c>
      <c r="H237" s="12" t="n">
        <v>2.215847049</v>
      </c>
      <c r="I237" s="12"/>
      <c r="J237" s="12"/>
      <c r="K237" s="8" t="n">
        <f aca="false">((B237-B236)/B236)*100</f>
        <v>0.850137005550467</v>
      </c>
      <c r="L237" s="8" t="n">
        <f aca="false">((C237-C236)/C236)*100</f>
        <v>-0.440236739552788</v>
      </c>
      <c r="M237" s="8" t="n">
        <f aca="false">((D237-D236)/D236)*100</f>
        <v>0.512904547316677</v>
      </c>
      <c r="N237" s="8" t="n">
        <f aca="false">((E237-E236)/E236)*100</f>
        <v>-0.646073087017973</v>
      </c>
      <c r="O237" s="8" t="n">
        <f aca="false">((F237-F236)/F236)*100</f>
        <v>-1.49137312408348</v>
      </c>
      <c r="P237" s="8" t="n">
        <f aca="false">((G237-G236)/G236)*100</f>
        <v>-0.605110633179031</v>
      </c>
      <c r="Q237" s="8" t="n">
        <f aca="false">((H237-H236)/H236)*100</f>
        <v>-15.3656712085512</v>
      </c>
      <c r="S237" s="9"/>
      <c r="V237" s="9" t="n">
        <f aca="false">K231-$V$4</f>
        <v>-0.751399750761463</v>
      </c>
      <c r="W237" s="9" t="n">
        <f aca="false">L231-$W$4</f>
        <v>0.0981850473270364</v>
      </c>
      <c r="X237" s="9" t="n">
        <f aca="false">M231-$X$4</f>
        <v>1.44705593068492</v>
      </c>
      <c r="Y237" s="9" t="n">
        <f aca="false">N231-$Y$4</f>
        <v>0.856191752537367</v>
      </c>
      <c r="Z237" s="9" t="n">
        <f aca="false">O231-$Z$4</f>
        <v>0.818948271340301</v>
      </c>
      <c r="AA237" s="9" t="n">
        <f aca="false">P231-$AA$4</f>
        <v>-0.39539727197889</v>
      </c>
      <c r="AB237" s="9" t="n">
        <f aca="false">Q231-$AB$4</f>
        <v>48.5425360716921</v>
      </c>
    </row>
    <row r="238" customFormat="false" ht="15.75" hidden="false" customHeight="false" outlineLevel="0" collapsed="false">
      <c r="A238" s="7" t="n">
        <v>45637</v>
      </c>
      <c r="B238" s="1" t="n">
        <v>143.19</v>
      </c>
      <c r="C238" s="9" t="n">
        <v>4427.45</v>
      </c>
      <c r="D238" s="9" t="n">
        <v>3072.05</v>
      </c>
      <c r="E238" s="8" t="n">
        <v>2241.05</v>
      </c>
      <c r="F238" s="9" t="n">
        <v>1586</v>
      </c>
      <c r="G238" s="11" t="n">
        <v>1356.65</v>
      </c>
      <c r="H238" s="12" t="n">
        <v>2.353484808</v>
      </c>
      <c r="I238" s="12"/>
      <c r="J238" s="12"/>
      <c r="K238" s="8" t="n">
        <f aca="false">((B238-B237)/B237)*100</f>
        <v>-0.243834471227528</v>
      </c>
      <c r="L238" s="8" t="n">
        <f aca="false">((C238-C237)/C237)*100</f>
        <v>-0.115057923768494</v>
      </c>
      <c r="M238" s="8" t="n">
        <f aca="false">((D238-D237)/D237)*100</f>
        <v>0.167922005934334</v>
      </c>
      <c r="N238" s="8" t="n">
        <f aca="false">((E238-E237)/E237)*100</f>
        <v>1.20120120120122</v>
      </c>
      <c r="O238" s="8" t="n">
        <f aca="false">((F238-F237)/F237)*100</f>
        <v>0.465587685680797</v>
      </c>
      <c r="P238" s="8" t="n">
        <f aca="false">((G238-G237)/G237)*100</f>
        <v>-0.491436535005671</v>
      </c>
      <c r="Q238" s="8" t="n">
        <f aca="false">((H238-H237)/H237)*100</f>
        <v>6.21151893413019</v>
      </c>
      <c r="S238" s="9"/>
      <c r="V238" s="9" t="n">
        <f aca="false">K232-$V$4</f>
        <v>1.30677112217211</v>
      </c>
      <c r="W238" s="9" t="n">
        <f aca="false">L232-$W$4</f>
        <v>0.572671464214376</v>
      </c>
      <c r="X238" s="9" t="n">
        <f aca="false">M232-$X$4</f>
        <v>0.112584300302396</v>
      </c>
      <c r="Y238" s="9" t="n">
        <f aca="false">N232-$Y$4</f>
        <v>0.523914397375051</v>
      </c>
      <c r="Z238" s="9" t="n">
        <f aca="false">O232-$Z$4</f>
        <v>-1.59443117509619</v>
      </c>
      <c r="AA238" s="9" t="n">
        <f aca="false">P232-$AA$4</f>
        <v>0.0674755906020612</v>
      </c>
      <c r="AB238" s="9" t="n">
        <f aca="false">Q232-$AB$4</f>
        <v>17.8004068108072</v>
      </c>
    </row>
    <row r="239" customFormat="false" ht="15.75" hidden="false" customHeight="false" outlineLevel="0" collapsed="false">
      <c r="A239" s="7" t="n">
        <v>45638</v>
      </c>
      <c r="B239" s="1" t="n">
        <v>141.48</v>
      </c>
      <c r="C239" s="9" t="n">
        <v>4454.95</v>
      </c>
      <c r="D239" s="9" t="n">
        <v>3067.45</v>
      </c>
      <c r="E239" s="8" t="n">
        <v>2224.05</v>
      </c>
      <c r="F239" s="9" t="n">
        <v>1610.55</v>
      </c>
      <c r="G239" s="11" t="n">
        <v>1373.35</v>
      </c>
      <c r="H239" s="12" t="n">
        <v>2.400876428</v>
      </c>
      <c r="I239" s="12"/>
      <c r="J239" s="12"/>
      <c r="K239" s="8" t="n">
        <f aca="false">((B239-B238)/B238)*100</f>
        <v>-1.19421747328725</v>
      </c>
      <c r="L239" s="8" t="n">
        <f aca="false">((C239-C238)/C238)*100</f>
        <v>0.621125026821308</v>
      </c>
      <c r="M239" s="8" t="n">
        <f aca="false">((D239-D238)/D238)*100</f>
        <v>-0.149737146205314</v>
      </c>
      <c r="N239" s="8" t="n">
        <f aca="false">((E239-E238)/E238)*100</f>
        <v>-0.75857299033935</v>
      </c>
      <c r="O239" s="8" t="n">
        <f aca="false">((F239-F238)/F238)*100</f>
        <v>1.54791929382093</v>
      </c>
      <c r="P239" s="8" t="n">
        <f aca="false">((G239-G238)/G238)*100</f>
        <v>1.23097335348099</v>
      </c>
      <c r="Q239" s="8" t="n">
        <f aca="false">((H239-H238)/H238)*100</f>
        <v>2.01367860284909</v>
      </c>
      <c r="S239" s="9"/>
      <c r="V239" s="9" t="n">
        <f aca="false">K233-$V$4</f>
        <v>0.206396017077645</v>
      </c>
      <c r="W239" s="9" t="n">
        <f aca="false">L233-$W$4</f>
        <v>1.16277579540589</v>
      </c>
      <c r="X239" s="9" t="n">
        <f aca="false">M233-$X$4</f>
        <v>-0.101777937077456</v>
      </c>
      <c r="Y239" s="9" t="n">
        <f aca="false">N233-$Y$4</f>
        <v>-0.0859403881890342</v>
      </c>
      <c r="Z239" s="9" t="n">
        <f aca="false">O233-$Z$4</f>
        <v>-2.44125820012479</v>
      </c>
      <c r="AA239" s="9" t="n">
        <f aca="false">P233-$AA$4</f>
        <v>1.42004909311404</v>
      </c>
      <c r="AB239" s="9" t="n">
        <f aca="false">Q233-$AB$4</f>
        <v>-7.21057332692861</v>
      </c>
    </row>
    <row r="240" customFormat="false" ht="15.75" hidden="false" customHeight="false" outlineLevel="0" collapsed="false">
      <c r="A240" s="7" t="n">
        <v>45639</v>
      </c>
      <c r="B240" s="1" t="n">
        <v>144.24</v>
      </c>
      <c r="C240" s="9" t="n">
        <v>4473.9</v>
      </c>
      <c r="D240" s="9" t="n">
        <v>3081.4</v>
      </c>
      <c r="E240" s="8" t="n">
        <v>2253.5</v>
      </c>
      <c r="F240" s="9" t="n">
        <v>1681.75</v>
      </c>
      <c r="G240" s="11" t="n">
        <v>1375.65</v>
      </c>
      <c r="H240" s="12" t="n">
        <v>2.342883103</v>
      </c>
      <c r="I240" s="12"/>
      <c r="J240" s="12"/>
      <c r="K240" s="8" t="n">
        <f aca="false">((B240-B239)/B239)*100</f>
        <v>1.95080576759967</v>
      </c>
      <c r="L240" s="8" t="n">
        <f aca="false">((C240-C239)/C239)*100</f>
        <v>0.425369532766918</v>
      </c>
      <c r="M240" s="8" t="n">
        <f aca="false">((D240-D239)/D239)*100</f>
        <v>0.454775138959079</v>
      </c>
      <c r="N240" s="8" t="n">
        <f aca="false">((E240-E239)/E239)*100</f>
        <v>1.3241608776781</v>
      </c>
      <c r="O240" s="8" t="n">
        <f aca="false">((F240-F239)/F239)*100</f>
        <v>4.42085002017944</v>
      </c>
      <c r="P240" s="8" t="n">
        <f aca="false">((G240-G239)/G239)*100</f>
        <v>0.16747369570759</v>
      </c>
      <c r="Q240" s="8" t="n">
        <f aca="false">((H240-H239)/H239)*100</f>
        <v>-2.41550645104672</v>
      </c>
      <c r="S240" s="9"/>
      <c r="V240" s="9" t="n">
        <f aca="false">K234-$V$4</f>
        <v>-0.34478235647908</v>
      </c>
      <c r="W240" s="9" t="n">
        <f aca="false">L234-$W$4</f>
        <v>2.480523267683</v>
      </c>
      <c r="X240" s="9" t="n">
        <f aca="false">M234-$X$4</f>
        <v>1.0656487535324</v>
      </c>
      <c r="Y240" s="9" t="n">
        <f aca="false">N234-$Y$4</f>
        <v>0.42753622489249</v>
      </c>
      <c r="Z240" s="9" t="n">
        <f aca="false">O234-$Z$4</f>
        <v>1.78070716462497</v>
      </c>
      <c r="AA240" s="9" t="n">
        <f aca="false">P234-$AA$4</f>
        <v>-0.511117746932042</v>
      </c>
      <c r="AB240" s="9" t="n">
        <f aca="false">Q234-$AB$4</f>
        <v>-7.95794285622866</v>
      </c>
    </row>
    <row r="241" customFormat="false" ht="15.75" hidden="false" customHeight="false" outlineLevel="0" collapsed="false">
      <c r="A241" s="7" t="n">
        <v>45642</v>
      </c>
      <c r="B241" s="1" t="n">
        <v>143.16</v>
      </c>
      <c r="C241" s="9" t="n">
        <v>4415.2</v>
      </c>
      <c r="D241" s="9" t="n">
        <v>3084.85</v>
      </c>
      <c r="E241" s="8" t="n">
        <v>2238.75</v>
      </c>
      <c r="F241" s="9" t="n">
        <v>1662.55</v>
      </c>
      <c r="G241" s="11" t="n">
        <v>1363.35</v>
      </c>
      <c r="H241" s="12" t="n">
        <v>2.45583949</v>
      </c>
      <c r="I241" s="12"/>
      <c r="J241" s="12"/>
      <c r="K241" s="8" t="n">
        <f aca="false">((B241-B240)/B240)*100</f>
        <v>-0.748752079866897</v>
      </c>
      <c r="L241" s="8" t="n">
        <f aca="false">((C241-C240)/C240)*100</f>
        <v>-1.31205435973088</v>
      </c>
      <c r="M241" s="8" t="n">
        <f aca="false">((D241-D240)/D240)*100</f>
        <v>0.111962095151549</v>
      </c>
      <c r="N241" s="8" t="n">
        <f aca="false">((E241-E240)/E240)*100</f>
        <v>-0.654537386287997</v>
      </c>
      <c r="O241" s="8" t="n">
        <f aca="false">((F241-F240)/F240)*100</f>
        <v>-1.14166790545563</v>
      </c>
      <c r="P241" s="8" t="n">
        <f aca="false">((G241-G240)/G240)*100</f>
        <v>-0.894122778322988</v>
      </c>
      <c r="Q241" s="8" t="n">
        <f aca="false">((H241-H240)/H240)*100</f>
        <v>4.82125577905965</v>
      </c>
      <c r="S241" s="9"/>
      <c r="V241" s="9" t="n">
        <f aca="false">K235-$V$4</f>
        <v>1.76274685948389</v>
      </c>
      <c r="W241" s="9" t="n">
        <f aca="false">L235-$W$4</f>
        <v>-0.453161241368008</v>
      </c>
      <c r="X241" s="9" t="n">
        <f aca="false">M235-$X$4</f>
        <v>-0.20319475837616</v>
      </c>
      <c r="Y241" s="9" t="n">
        <f aca="false">N235-$Y$4</f>
        <v>0.188019117137911</v>
      </c>
      <c r="Z241" s="9" t="n">
        <f aca="false">O235-$Z$4</f>
        <v>-1.27537837787321</v>
      </c>
      <c r="AA241" s="9" t="n">
        <f aca="false">P235-$AA$4</f>
        <v>0.213204389136739</v>
      </c>
      <c r="AB241" s="9" t="n">
        <f aca="false">Q235-$AB$4</f>
        <v>-4.64537237514239</v>
      </c>
    </row>
    <row r="242" customFormat="false" ht="15.75" hidden="false" customHeight="false" outlineLevel="0" collapsed="false">
      <c r="A242" s="7" t="n">
        <v>45643</v>
      </c>
      <c r="B242" s="1" t="n">
        <v>140.32</v>
      </c>
      <c r="C242" s="9" t="n">
        <v>4328.5</v>
      </c>
      <c r="D242" s="9" t="n">
        <v>3041.5</v>
      </c>
      <c r="E242" s="8" t="n">
        <v>2202.95</v>
      </c>
      <c r="F242" s="9" t="n">
        <v>1615.3</v>
      </c>
      <c r="G242" s="11" t="n">
        <v>1345</v>
      </c>
      <c r="H242" s="12" t="n">
        <v>2.493633865</v>
      </c>
      <c r="I242" s="12"/>
      <c r="J242" s="12"/>
      <c r="K242" s="8" t="n">
        <f aca="false">((B242-B241)/B241)*100</f>
        <v>-1.98379435596536</v>
      </c>
      <c r="L242" s="8" t="n">
        <f aca="false">((C242-C241)/C241)*100</f>
        <v>-1.96367095488313</v>
      </c>
      <c r="M242" s="8" t="n">
        <f aca="false">((D242-D241)/D241)*100</f>
        <v>-1.4052547125468</v>
      </c>
      <c r="N242" s="8" t="n">
        <f aca="false">((E242-E241)/E241)*100</f>
        <v>-1.59910664433278</v>
      </c>
      <c r="O242" s="8" t="n">
        <f aca="false">((F242-F241)/F241)*100</f>
        <v>-2.84201978887853</v>
      </c>
      <c r="P242" s="8" t="n">
        <f aca="false">((G242-G241)/G241)*100</f>
        <v>-1.34594931602303</v>
      </c>
      <c r="Q242" s="8" t="n">
        <f aca="false">((H242-H241)/H241)*100</f>
        <v>1.53895949445785</v>
      </c>
      <c r="S242" s="9"/>
      <c r="V242" s="9" t="n">
        <f aca="false">K236-$V$4</f>
        <v>0.216154742919572</v>
      </c>
      <c r="W242" s="9" t="n">
        <f aca="false">L236-$W$4</f>
        <v>0.111970171746734</v>
      </c>
      <c r="X242" s="9" t="n">
        <f aca="false">M236-$X$4</f>
        <v>-0.956551025994769</v>
      </c>
      <c r="Y242" s="9" t="n">
        <f aca="false">N236-$Y$4</f>
        <v>-1.63102731664731</v>
      </c>
      <c r="Z242" s="9" t="n">
        <f aca="false">O236-$Z$4</f>
        <v>0.102123427933326</v>
      </c>
      <c r="AA242" s="9" t="n">
        <f aca="false">P236-$AA$4</f>
        <v>0.0669511365184196</v>
      </c>
      <c r="AB242" s="9" t="n">
        <f aca="false">Q236-$AB$4</f>
        <v>15.4491473953316</v>
      </c>
    </row>
    <row r="243" customFormat="false" ht="15.75" hidden="false" customHeight="false" outlineLevel="0" collapsed="false">
      <c r="A243" s="7" t="n">
        <v>45644</v>
      </c>
      <c r="B243" s="1" t="n">
        <v>136.71</v>
      </c>
      <c r="C243" s="9" t="n">
        <v>4347.85</v>
      </c>
      <c r="D243" s="9" t="n">
        <v>3051.2</v>
      </c>
      <c r="E243" s="8" t="n">
        <v>2188.05</v>
      </c>
      <c r="F243" s="9" t="n">
        <v>1601.9</v>
      </c>
      <c r="G243" s="11" t="n">
        <v>1341</v>
      </c>
      <c r="H243" s="12" t="n">
        <v>2.556191251</v>
      </c>
      <c r="I243" s="12"/>
      <c r="J243" s="12"/>
      <c r="K243" s="8" t="n">
        <f aca="false">((B243-B242)/B242)*100</f>
        <v>-2.57269099201823</v>
      </c>
      <c r="L243" s="8" t="n">
        <f aca="false">((C243-C242)/C242)*100</f>
        <v>0.447037079819807</v>
      </c>
      <c r="M243" s="8" t="n">
        <f aca="false">((D243-D242)/D242)*100</f>
        <v>0.318921584744364</v>
      </c>
      <c r="N243" s="8" t="n">
        <f aca="false">((E243-E242)/E242)*100</f>
        <v>-0.676365782246517</v>
      </c>
      <c r="O243" s="8" t="n">
        <f aca="false">((F243-F242)/F242)*100</f>
        <v>-0.829567263047104</v>
      </c>
      <c r="P243" s="8" t="n">
        <f aca="false">((G243-G242)/G242)*100</f>
        <v>-0.297397769516729</v>
      </c>
      <c r="Q243" s="8" t="n">
        <f aca="false">((H243-H242)/H242)*100</f>
        <v>2.50868368761105</v>
      </c>
      <c r="S243" s="9"/>
      <c r="V243" s="9" t="n">
        <f aca="false">K237-$V$4</f>
        <v>0.805654949371698</v>
      </c>
      <c r="W243" s="9" t="n">
        <f aca="false">L237-$W$4</f>
        <v>-0.477856040306328</v>
      </c>
      <c r="X243" s="9" t="n">
        <f aca="false">M237-$X$4</f>
        <v>0.264130937527569</v>
      </c>
      <c r="Y243" s="9" t="n">
        <f aca="false">N237-$Y$4</f>
        <v>-0.559576812519664</v>
      </c>
      <c r="Z243" s="9" t="n">
        <f aca="false">O237-$Z$4</f>
        <v>-1.68339495384018</v>
      </c>
      <c r="AA243" s="9" t="n">
        <f aca="false">P237-$AA$4</f>
        <v>-0.585570145821815</v>
      </c>
      <c r="AB243" s="9" t="n">
        <f aca="false">Q237-$AB$4</f>
        <v>-16.0449289249543</v>
      </c>
    </row>
    <row r="244" customFormat="false" ht="15.75" hidden="false" customHeight="false" outlineLevel="0" collapsed="false">
      <c r="A244" s="7" t="n">
        <v>45645</v>
      </c>
      <c r="B244" s="1" t="n">
        <v>139.62</v>
      </c>
      <c r="C244" s="9" t="n">
        <v>4271.9</v>
      </c>
      <c r="D244" s="9" t="n">
        <v>3014.65</v>
      </c>
      <c r="E244" s="8" t="n">
        <v>2160.4</v>
      </c>
      <c r="F244" s="9" t="n">
        <v>1600.3</v>
      </c>
      <c r="G244" s="11" t="n">
        <v>1328.35</v>
      </c>
      <c r="H244" s="12" t="n">
        <v>2.297666881</v>
      </c>
      <c r="I244" s="12"/>
      <c r="J244" s="12"/>
      <c r="K244" s="8" t="n">
        <f aca="false">((B244-B243)/B243)*100</f>
        <v>2.128593372833</v>
      </c>
      <c r="L244" s="8" t="n">
        <f aca="false">((C244-C243)/C243)*100</f>
        <v>-1.74684039237786</v>
      </c>
      <c r="M244" s="8" t="n">
        <f aca="false">((D244-D243)/D243)*100</f>
        <v>-1.19788935500786</v>
      </c>
      <c r="N244" s="8" t="n">
        <f aca="false">((E244-E243)/E243)*100</f>
        <v>-1.26368227417107</v>
      </c>
      <c r="O244" s="8" t="n">
        <f aca="false">((F244-F243)/F243)*100</f>
        <v>-0.0998813908483761</v>
      </c>
      <c r="P244" s="8" t="n">
        <f aca="false">((G244-G243)/G243)*100</f>
        <v>-0.943325876211789</v>
      </c>
      <c r="Q244" s="8" t="n">
        <f aca="false">((H244-H243)/H243)*100</f>
        <v>-10.1136552243054</v>
      </c>
      <c r="S244" s="9"/>
      <c r="V244" s="9" t="n">
        <f aca="false">K238-$V$4</f>
        <v>-0.288316527406297</v>
      </c>
      <c r="W244" s="9" t="n">
        <f aca="false">L238-$W$4</f>
        <v>-0.152677224522033</v>
      </c>
      <c r="X244" s="9" t="n">
        <f aca="false">M238-$X$4</f>
        <v>-0.0808516038547733</v>
      </c>
      <c r="Y244" s="9" t="n">
        <f aca="false">N238-$Y$4</f>
        <v>1.28769747569953</v>
      </c>
      <c r="Z244" s="9" t="n">
        <f aca="false">O238-$Z$4</f>
        <v>0.2735658559241</v>
      </c>
      <c r="AA244" s="9" t="n">
        <f aca="false">P238-$AA$4</f>
        <v>-0.471896047648455</v>
      </c>
      <c r="AB244" s="9" t="n">
        <f aca="false">Q238-$AB$4</f>
        <v>5.53226121772704</v>
      </c>
    </row>
    <row r="245" customFormat="false" ht="15.75" hidden="false" customHeight="false" outlineLevel="0" collapsed="false">
      <c r="A245" s="7" t="n">
        <v>45646</v>
      </c>
      <c r="B245" s="1" t="n">
        <v>137.08</v>
      </c>
      <c r="C245" s="9" t="n">
        <v>4170.3</v>
      </c>
      <c r="D245" s="9" t="n">
        <v>2906.35</v>
      </c>
      <c r="E245" s="8" t="n">
        <v>2163.5</v>
      </c>
      <c r="F245" s="9" t="n">
        <v>1578.1</v>
      </c>
      <c r="G245" s="11" t="n">
        <v>1316</v>
      </c>
      <c r="H245" s="12" t="n">
        <v>2.255279458</v>
      </c>
      <c r="I245" s="12"/>
      <c r="J245" s="12"/>
      <c r="K245" s="8" t="n">
        <f aca="false">((B245-B244)/B244)*100</f>
        <v>-1.8192236069331</v>
      </c>
      <c r="L245" s="8" t="n">
        <f aca="false">((C245-C244)/C244)*100</f>
        <v>-2.37833282614292</v>
      </c>
      <c r="M245" s="8" t="n">
        <f aca="false">((D245-D244)/D244)*100</f>
        <v>-3.59245683578525</v>
      </c>
      <c r="N245" s="8" t="n">
        <f aca="false">((E245-E244)/E244)*100</f>
        <v>0.143491945935934</v>
      </c>
      <c r="O245" s="8" t="n">
        <f aca="false">((F245-F244)/F244)*100</f>
        <v>-1.38723989252016</v>
      </c>
      <c r="P245" s="8" t="n">
        <f aca="false">((G245-G244)/G244)*100</f>
        <v>-0.929724846614214</v>
      </c>
      <c r="Q245" s="8" t="n">
        <f aca="false">((H245-H244)/H244)*100</f>
        <v>-1.84480280194282</v>
      </c>
      <c r="S245" s="9"/>
      <c r="V245" s="9" t="n">
        <f aca="false">K239-$V$4</f>
        <v>-1.23869952946601</v>
      </c>
      <c r="W245" s="9" t="n">
        <f aca="false">L239-$W$4</f>
        <v>0.583505726067769</v>
      </c>
      <c r="X245" s="9" t="n">
        <f aca="false">M239-$X$4</f>
        <v>-0.398510755994422</v>
      </c>
      <c r="Y245" s="9" t="n">
        <f aca="false">N239-$Y$4</f>
        <v>-0.672076715841041</v>
      </c>
      <c r="Z245" s="9" t="n">
        <f aca="false">O239-$Z$4</f>
        <v>1.35589746406423</v>
      </c>
      <c r="AA245" s="9" t="n">
        <f aca="false">P239-$AA$4</f>
        <v>1.2505138408382</v>
      </c>
      <c r="AB245" s="9" t="n">
        <f aca="false">Q239-$AB$4</f>
        <v>1.33442088644594</v>
      </c>
    </row>
    <row r="246" customFormat="false" ht="15.75" hidden="false" customHeight="false" outlineLevel="0" collapsed="false">
      <c r="A246" s="7" t="n">
        <v>45649</v>
      </c>
      <c r="B246" s="1" t="n">
        <v>137.78</v>
      </c>
      <c r="C246" s="9" t="n">
        <v>4158.3</v>
      </c>
      <c r="D246" s="9" t="n">
        <v>2909.3</v>
      </c>
      <c r="E246" s="8" t="n">
        <v>2151.6</v>
      </c>
      <c r="F246" s="9" t="n">
        <v>1586.9</v>
      </c>
      <c r="G246" s="11" t="n">
        <v>1334</v>
      </c>
      <c r="H246" s="12" t="n">
        <v>2.19830609</v>
      </c>
      <c r="I246" s="12"/>
      <c r="J246" s="12"/>
      <c r="K246" s="8" t="n">
        <f aca="false">((B246-B245)/B245)*100</f>
        <v>0.510650714910993</v>
      </c>
      <c r="L246" s="8" t="n">
        <f aca="false">((C246-C245)/C245)*100</f>
        <v>-0.287749082799799</v>
      </c>
      <c r="M246" s="8" t="n">
        <f aca="false">((D246-D245)/D245)*100</f>
        <v>0.101501883806158</v>
      </c>
      <c r="N246" s="8" t="n">
        <f aca="false">((E246-E245)/E245)*100</f>
        <v>-0.550034666050386</v>
      </c>
      <c r="O246" s="8" t="n">
        <f aca="false">((F246-F245)/F245)*100</f>
        <v>0.557632596159951</v>
      </c>
      <c r="P246" s="8" t="n">
        <f aca="false">((G246-G245)/G245)*100</f>
        <v>1.3677811550152</v>
      </c>
      <c r="Q246" s="8" t="n">
        <f aca="false">((H246-H245)/H245)*100</f>
        <v>-2.52622209624187</v>
      </c>
      <c r="S246" s="9"/>
      <c r="V246" s="9" t="n">
        <f aca="false">K240-$V$4</f>
        <v>1.90632371142091</v>
      </c>
      <c r="W246" s="9" t="n">
        <f aca="false">L240-$W$4</f>
        <v>0.387750232013379</v>
      </c>
      <c r="X246" s="9" t="n">
        <f aca="false">M240-$X$4</f>
        <v>0.206001529169972</v>
      </c>
      <c r="Y246" s="9" t="n">
        <f aca="false">N240-$Y$4</f>
        <v>1.41065715217641</v>
      </c>
      <c r="Z246" s="9" t="n">
        <f aca="false">O240-$Z$4</f>
        <v>4.22882819042275</v>
      </c>
      <c r="AA246" s="9" t="n">
        <f aca="false">P240-$AA$4</f>
        <v>0.187014183064806</v>
      </c>
      <c r="AB246" s="9" t="n">
        <f aca="false">Q240-$AB$4</f>
        <v>-3.09476416744987</v>
      </c>
    </row>
    <row r="247" customFormat="false" ht="15.75" hidden="false" customHeight="false" outlineLevel="0" collapsed="false">
      <c r="A247" s="7" t="n">
        <v>45650</v>
      </c>
      <c r="B247" s="1" t="n">
        <v>138.27</v>
      </c>
      <c r="C247" s="9" t="n">
        <v>4179.5</v>
      </c>
      <c r="D247" s="9" t="n">
        <v>2928.7</v>
      </c>
      <c r="E247" s="8" t="n">
        <v>2166.7</v>
      </c>
      <c r="F247" s="9" t="n">
        <v>1583.9</v>
      </c>
      <c r="G247" s="11" t="n">
        <v>1335</v>
      </c>
      <c r="H247" s="12" t="n">
        <v>2.254884049</v>
      </c>
      <c r="I247" s="12"/>
      <c r="J247" s="12"/>
      <c r="K247" s="8" t="n">
        <f aca="false">((B247-B246)/B246)*100</f>
        <v>0.355639425170568</v>
      </c>
      <c r="L247" s="8" t="n">
        <f aca="false">((C247-C246)/C246)*100</f>
        <v>0.509823726041888</v>
      </c>
      <c r="M247" s="8" t="n">
        <f aca="false">((D247-D246)/D246)*100</f>
        <v>0.666827071804202</v>
      </c>
      <c r="N247" s="8" t="n">
        <f aca="false">((E247-E246)/E246)*100</f>
        <v>0.701803309165268</v>
      </c>
      <c r="O247" s="8" t="n">
        <f aca="false">((F247-F246)/F246)*100</f>
        <v>-0.189047829100762</v>
      </c>
      <c r="P247" s="8" t="n">
        <f aca="false">((G247-G246)/G246)*100</f>
        <v>0.0749625187406297</v>
      </c>
      <c r="Q247" s="8" t="n">
        <f aca="false">((H247-H246)/H246)*100</f>
        <v>2.57370705823774</v>
      </c>
      <c r="S247" s="9"/>
      <c r="V247" s="9" t="n">
        <f aca="false">K241-$V$4</f>
        <v>-0.793234136045666</v>
      </c>
      <c r="W247" s="9" t="n">
        <f aca="false">L241-$W$4</f>
        <v>-1.34967366048442</v>
      </c>
      <c r="X247" s="9" t="n">
        <f aca="false">M241-$X$4</f>
        <v>-0.136811514637559</v>
      </c>
      <c r="Y247" s="9" t="n">
        <f aca="false">N241-$Y$4</f>
        <v>-0.568041111789688</v>
      </c>
      <c r="Z247" s="9" t="n">
        <f aca="false">O241-$Z$4</f>
        <v>-1.33368973521233</v>
      </c>
      <c r="AA247" s="9" t="n">
        <f aca="false">P241-$AA$4</f>
        <v>-0.874582290965771</v>
      </c>
      <c r="AB247" s="9" t="n">
        <f aca="false">Q241-$AB$4</f>
        <v>4.14199806265651</v>
      </c>
    </row>
    <row r="248" customFormat="false" ht="15.75" hidden="false" customHeight="false" outlineLevel="0" collapsed="false">
      <c r="A248" s="7" t="n">
        <v>45652</v>
      </c>
      <c r="B248" s="1" t="n">
        <v>137.85</v>
      </c>
      <c r="C248" s="9" t="n">
        <v>4169.1</v>
      </c>
      <c r="D248" s="9" t="n">
        <v>2975.65</v>
      </c>
      <c r="E248" s="8" t="n">
        <v>2149.9</v>
      </c>
      <c r="F248" s="9" t="n">
        <v>1599.5</v>
      </c>
      <c r="G248" s="11" t="n">
        <v>1343.35</v>
      </c>
      <c r="H248" s="12" t="n">
        <v>2.29718979</v>
      </c>
      <c r="I248" s="12"/>
      <c r="J248" s="12"/>
      <c r="K248" s="8" t="n">
        <f aca="false">((B248-B247)/B247)*100</f>
        <v>-0.303753525710578</v>
      </c>
      <c r="L248" s="8" t="n">
        <f aca="false">((C248-C247)/C247)*100</f>
        <v>-0.248833592534984</v>
      </c>
      <c r="M248" s="8" t="n">
        <f aca="false">((D248-D247)/D247)*100</f>
        <v>1.60310035169189</v>
      </c>
      <c r="N248" s="8" t="n">
        <f aca="false">((E248-E247)/E247)*100</f>
        <v>-0.77537268657404</v>
      </c>
      <c r="O248" s="8" t="n">
        <f aca="false">((F248-F247)/F247)*100</f>
        <v>0.984910663551986</v>
      </c>
      <c r="P248" s="8" t="n">
        <f aca="false">((G248-G247)/G247)*100</f>
        <v>0.625468164794001</v>
      </c>
      <c r="Q248" s="8" t="n">
        <f aca="false">((H248-H247)/H247)*100</f>
        <v>1.87618254777942</v>
      </c>
      <c r="S248" s="9"/>
      <c r="V248" s="9" t="n">
        <f aca="false">K242-$V$4</f>
        <v>-2.02827641214412</v>
      </c>
      <c r="W248" s="9" t="n">
        <f aca="false">L242-$W$4</f>
        <v>-2.00129025563667</v>
      </c>
      <c r="X248" s="9" t="n">
        <f aca="false">M242-$X$4</f>
        <v>-1.65402832233591</v>
      </c>
      <c r="Y248" s="9" t="n">
        <f aca="false">N242-$Y$4</f>
        <v>-1.51261036983447</v>
      </c>
      <c r="Z248" s="9" t="n">
        <f aca="false">O242-$Z$4</f>
        <v>-3.03404161863523</v>
      </c>
      <c r="AA248" s="9" t="n">
        <f aca="false">P242-$AA$4</f>
        <v>-1.32640882866581</v>
      </c>
      <c r="AB248" s="9" t="n">
        <f aca="false">Q242-$AB$4</f>
        <v>0.859701778054703</v>
      </c>
    </row>
    <row r="249" customFormat="false" ht="15.75" hidden="false" customHeight="false" outlineLevel="0" collapsed="false">
      <c r="A249" s="7" t="n">
        <v>45653</v>
      </c>
      <c r="B249" s="1" t="n">
        <v>136.25</v>
      </c>
      <c r="C249" s="9" t="n">
        <v>4164.85</v>
      </c>
      <c r="D249" s="9" t="n">
        <v>3049.45</v>
      </c>
      <c r="E249" s="8" t="n">
        <v>2165.6</v>
      </c>
      <c r="F249" s="9" t="n">
        <v>1599.85</v>
      </c>
      <c r="G249" s="11" t="n">
        <v>1340</v>
      </c>
      <c r="H249" s="12" t="n">
        <v>2.154071423</v>
      </c>
      <c r="I249" s="12"/>
      <c r="J249" s="12"/>
      <c r="K249" s="8" t="n">
        <f aca="false">((B249-B248)/B248)*100</f>
        <v>-1.16068190061661</v>
      </c>
      <c r="L249" s="8" t="n">
        <f aca="false">((C249-C248)/C248)*100</f>
        <v>-0.101940466767408</v>
      </c>
      <c r="M249" s="8" t="n">
        <f aca="false">((D249-D248)/D248)*100</f>
        <v>2.48013039167912</v>
      </c>
      <c r="N249" s="8" t="n">
        <f aca="false">((E249-E248)/E248)*100</f>
        <v>0.730266524024365</v>
      </c>
      <c r="O249" s="8" t="n">
        <f aca="false">((F249-F248)/F248)*100</f>
        <v>0.0218818380743926</v>
      </c>
      <c r="P249" s="8" t="n">
        <f aca="false">((G249-G248)/G248)*100</f>
        <v>-0.249376558603485</v>
      </c>
      <c r="Q249" s="8" t="n">
        <f aca="false">((H249-H248)/H248)*100</f>
        <v>-6.23014988239174</v>
      </c>
      <c r="S249" s="9"/>
      <c r="V249" s="9" t="n">
        <f aca="false">K243-$V$4</f>
        <v>-2.617173048197</v>
      </c>
      <c r="W249" s="9" t="n">
        <f aca="false">L243-$W$4</f>
        <v>0.409417779066268</v>
      </c>
      <c r="X249" s="9" t="n">
        <f aca="false">M243-$X$4</f>
        <v>0.0701479749552563</v>
      </c>
      <c r="Y249" s="9" t="n">
        <f aca="false">N243-$Y$4</f>
        <v>-0.589869507748208</v>
      </c>
      <c r="Z249" s="9" t="n">
        <f aca="false">O243-$Z$4</f>
        <v>-1.0215890928038</v>
      </c>
      <c r="AA249" s="9" t="n">
        <f aca="false">P243-$AA$4</f>
        <v>-0.277857282159512</v>
      </c>
      <c r="AB249" s="9" t="n">
        <f aca="false">Q243-$AB$4</f>
        <v>1.8294259712079</v>
      </c>
    </row>
    <row r="250" customFormat="false" ht="15.75" hidden="false" customHeight="false" outlineLevel="0" collapsed="false">
      <c r="A250" s="7" t="n">
        <v>45656</v>
      </c>
      <c r="B250" s="1" t="n">
        <v>134.61</v>
      </c>
      <c r="C250" s="9" t="n">
        <v>4158.8</v>
      </c>
      <c r="D250" s="9" t="n">
        <v>3002.9</v>
      </c>
      <c r="E250" s="8" t="n">
        <v>2159.9</v>
      </c>
      <c r="F250" s="9" t="n">
        <v>1586.9</v>
      </c>
      <c r="G250" s="11" t="n">
        <v>1336.65</v>
      </c>
      <c r="H250" s="12" t="n">
        <v>2.095671916</v>
      </c>
      <c r="I250" s="12"/>
      <c r="J250" s="12"/>
      <c r="K250" s="8" t="n">
        <f aca="false">((B250-B249)/B249)*100</f>
        <v>-1.20366972477063</v>
      </c>
      <c r="L250" s="8" t="n">
        <f aca="false">((C250-C249)/C249)*100</f>
        <v>-0.145263334813983</v>
      </c>
      <c r="M250" s="8" t="n">
        <f aca="false">((D250-D249)/D249)*100</f>
        <v>-1.5265047795504</v>
      </c>
      <c r="N250" s="8" t="n">
        <f aca="false">((E250-E249)/E249)*100</f>
        <v>-0.263206501662348</v>
      </c>
      <c r="O250" s="8" t="n">
        <f aca="false">((F250-F249)/F249)*100</f>
        <v>-0.809450886020553</v>
      </c>
      <c r="P250" s="8" t="n">
        <f aca="false">((G250-G249)/G249)*100</f>
        <v>-0.249999999999993</v>
      </c>
      <c r="Q250" s="8" t="n">
        <f aca="false">((H250-H249)/H249)*100</f>
        <v>-2.71112212791283</v>
      </c>
      <c r="S250" s="9"/>
      <c r="V250" s="9" t="n">
        <f aca="false">K244-$V$4</f>
        <v>2.08411131665423</v>
      </c>
      <c r="W250" s="9" t="n">
        <f aca="false">L244-$W$4</f>
        <v>-1.7844596931314</v>
      </c>
      <c r="X250" s="9" t="n">
        <f aca="false">M244-$X$4</f>
        <v>-1.44666296479696</v>
      </c>
      <c r="Y250" s="9" t="n">
        <f aca="false">N244-$Y$4</f>
        <v>-1.17718599967276</v>
      </c>
      <c r="Z250" s="9" t="n">
        <f aca="false">O244-$Z$4</f>
        <v>-0.291903220605074</v>
      </c>
      <c r="AA250" s="9" t="n">
        <f aca="false">P244-$AA$4</f>
        <v>-0.923785388854572</v>
      </c>
      <c r="AB250" s="9" t="n">
        <f aca="false">Q244-$AB$4</f>
        <v>-10.7929129407086</v>
      </c>
    </row>
    <row r="251" customFormat="false" ht="15.75" hidden="false" customHeight="false" outlineLevel="0" collapsed="false">
      <c r="A251" s="7" t="n">
        <v>45657</v>
      </c>
      <c r="B251" s="1" t="n">
        <v>136.41</v>
      </c>
      <c r="C251" s="9" t="n">
        <v>4094.8</v>
      </c>
      <c r="D251" s="9" t="n">
        <v>3007.1</v>
      </c>
      <c r="E251" s="8" t="n">
        <v>2170.05</v>
      </c>
      <c r="F251" s="9" t="n">
        <v>1587.75</v>
      </c>
      <c r="G251" s="11" t="n">
        <v>1341.65</v>
      </c>
      <c r="H251" s="12" t="n">
        <v>2.056730468</v>
      </c>
      <c r="I251" s="12"/>
      <c r="J251" s="12"/>
      <c r="K251" s="8" t="n">
        <f aca="false">((B251-B250)/B250)*100</f>
        <v>1.33719634499664</v>
      </c>
      <c r="L251" s="8" t="n">
        <f aca="false">((C251-C250)/C250)*100</f>
        <v>-1.5389054534962</v>
      </c>
      <c r="M251" s="8" t="n">
        <f aca="false">((D251-D250)/D250)*100</f>
        <v>0.139864797362543</v>
      </c>
      <c r="N251" s="8" t="n">
        <f aca="false">((E251-E250)/E250)*100</f>
        <v>0.469929163387198</v>
      </c>
      <c r="O251" s="8" t="n">
        <f aca="false">((F251-F250)/F250)*100</f>
        <v>0.0535635515785436</v>
      </c>
      <c r="P251" s="8" t="n">
        <f aca="false">((G251-G250)/G250)*100</f>
        <v>0.374069502113493</v>
      </c>
      <c r="Q251" s="8" t="n">
        <f aca="false">((H251-H250)/H250)*100</f>
        <v>-1.85818437049667</v>
      </c>
      <c r="S251" s="9"/>
      <c r="V251" s="9" t="n">
        <f aca="false">K245-$V$4</f>
        <v>-1.86370566311187</v>
      </c>
      <c r="W251" s="9" t="n">
        <f aca="false">L245-$W$4</f>
        <v>-2.41595212689646</v>
      </c>
      <c r="X251" s="9" t="n">
        <f aca="false">M245-$X$4</f>
        <v>-3.84123044557436</v>
      </c>
      <c r="Y251" s="9" t="n">
        <f aca="false">N245-$Y$4</f>
        <v>0.229988220434242</v>
      </c>
      <c r="Z251" s="9" t="n">
        <f aca="false">O245-$Z$4</f>
        <v>-1.57926172227685</v>
      </c>
      <c r="AA251" s="9" t="n">
        <f aca="false">P245-$AA$4</f>
        <v>-0.910184359256997</v>
      </c>
      <c r="AB251" s="9" t="n">
        <f aca="false">Q245-$AB$4</f>
        <v>-2.52406051834596</v>
      </c>
    </row>
    <row r="252" customFormat="false" ht="15.75" hidden="false" customHeight="false" outlineLevel="0" collapsed="false">
      <c r="A252" s="23"/>
      <c r="B252" s="2"/>
      <c r="C252" s="24"/>
      <c r="D252" s="24"/>
      <c r="E252" s="25"/>
      <c r="F252" s="24"/>
      <c r="G252" s="2"/>
      <c r="M252" s="2"/>
      <c r="V252" s="9" t="n">
        <f aca="false">K246-$V$4</f>
        <v>0.466168658732224</v>
      </c>
      <c r="W252" s="9" t="n">
        <f aca="false">L246-$W$4</f>
        <v>-0.325368383553338</v>
      </c>
      <c r="X252" s="9" t="n">
        <f aca="false">M246-$X$4</f>
        <v>-0.147271725982949</v>
      </c>
      <c r="Y252" s="9" t="n">
        <f aca="false">N246-$Y$4</f>
        <v>-0.463538391552077</v>
      </c>
      <c r="Z252" s="9" t="n">
        <f aca="false">O246-$Z$4</f>
        <v>0.365610766403253</v>
      </c>
      <c r="AA252" s="9" t="n">
        <f aca="false">P246-$AA$4</f>
        <v>1.38732164237241</v>
      </c>
      <c r="AB252" s="9" t="n">
        <f aca="false">Q246-$AB$4</f>
        <v>-3.20547981264502</v>
      </c>
    </row>
    <row r="253" customFormat="false" ht="15.75" hidden="false" customHeight="false" outlineLevel="0" collapsed="false">
      <c r="A253" s="23"/>
      <c r="E253" s="25"/>
      <c r="G253" s="2"/>
      <c r="M253" s="2"/>
      <c r="V253" s="9" t="n">
        <f aca="false">K247-$V$4</f>
        <v>0.3111573689918</v>
      </c>
      <c r="W253" s="9" t="n">
        <f aca="false">L247-$W$4</f>
        <v>0.472204425288348</v>
      </c>
      <c r="X253" s="9" t="n">
        <f aca="false">M247-$X$4</f>
        <v>0.418053462015094</v>
      </c>
      <c r="Y253" s="9" t="n">
        <f aca="false">N247-$Y$4</f>
        <v>0.788299583663577</v>
      </c>
      <c r="Z253" s="9" t="n">
        <f aca="false">O247-$Z$4</f>
        <v>-0.38106965885746</v>
      </c>
      <c r="AA253" s="9" t="n">
        <f aca="false">P247-$AA$4</f>
        <v>0.0945030060978464</v>
      </c>
      <c r="AB253" s="9" t="n">
        <f aca="false">Q247-$AB$4</f>
        <v>1.8944493418346</v>
      </c>
    </row>
    <row r="254" customFormat="false" ht="15.75" hidden="false" customHeight="false" outlineLevel="0" collapsed="false">
      <c r="A254" s="23"/>
      <c r="E254" s="8"/>
      <c r="G254" s="2"/>
      <c r="M254" s="8"/>
      <c r="V254" s="9" t="n">
        <f aca="false">K248-$V$4</f>
        <v>-0.348235581889346</v>
      </c>
      <c r="W254" s="9" t="n">
        <f aca="false">L248-$W$4</f>
        <v>-0.286452893288523</v>
      </c>
      <c r="X254" s="9" t="n">
        <f aca="false">M248-$X$4</f>
        <v>1.35432674190278</v>
      </c>
      <c r="Y254" s="9" t="n">
        <f aca="false">N248-$Y$4</f>
        <v>-0.688876412075732</v>
      </c>
      <c r="Z254" s="9" t="n">
        <f aca="false">O248-$Z$4</f>
        <v>0.792888833795288</v>
      </c>
      <c r="AA254" s="9" t="n">
        <f aca="false">P248-$AA$4</f>
        <v>0.645008652151217</v>
      </c>
      <c r="AB254" s="9" t="n">
        <f aca="false">Q248-$AB$4</f>
        <v>1.19692483137627</v>
      </c>
    </row>
    <row r="255" customFormat="false" ht="15.75" hidden="false" customHeight="false" outlineLevel="0" collapsed="false">
      <c r="A255" s="23"/>
      <c r="C255" s="26" t="s">
        <v>41</v>
      </c>
      <c r="D255" s="27" t="s">
        <v>42</v>
      </c>
      <c r="E255" s="27" t="s">
        <v>43</v>
      </c>
      <c r="F255" s="27" t="s">
        <v>44</v>
      </c>
      <c r="G255" s="2"/>
      <c r="H255" s="27" t="s">
        <v>45</v>
      </c>
      <c r="I255" s="24"/>
      <c r="J255" s="24"/>
      <c r="M255" s="8"/>
      <c r="V255" s="9" t="n">
        <f aca="false">K249-$V$4</f>
        <v>-1.20516395679538</v>
      </c>
      <c r="W255" s="9" t="n">
        <f aca="false">L249-$W$4</f>
        <v>-0.139559767520947</v>
      </c>
      <c r="X255" s="9" t="n">
        <f aca="false">M249-$X$4</f>
        <v>2.23135678189001</v>
      </c>
      <c r="Y255" s="9" t="n">
        <f aca="false">N249-$Y$4</f>
        <v>0.816762798522674</v>
      </c>
      <c r="Z255" s="9" t="n">
        <f aca="false">O249-$Z$4</f>
        <v>-0.170139991682305</v>
      </c>
      <c r="AA255" s="9" t="n">
        <f aca="false">P249-$AA$4</f>
        <v>-0.229836071246268</v>
      </c>
      <c r="AB255" s="9" t="n">
        <f aca="false">Q249-$AB$4</f>
        <v>-6.90940759879489</v>
      </c>
    </row>
    <row r="256" customFormat="false" ht="15.75" hidden="false" customHeight="false" outlineLevel="0" collapsed="false">
      <c r="B256" s="14" t="s">
        <v>17</v>
      </c>
      <c r="C256" s="28" t="e">
        <f aca="false">(#REF!)/#REF!</f>
        <v>#REF!</v>
      </c>
      <c r="F256" s="29" t="n">
        <v>1</v>
      </c>
      <c r="G256" s="2"/>
      <c r="H256" s="29" t="n">
        <v>0.67</v>
      </c>
      <c r="I256" s="12"/>
      <c r="J256" s="12"/>
      <c r="M256" s="8"/>
      <c r="V256" s="9" t="n">
        <f aca="false">K250-$V$4</f>
        <v>-1.2481517809494</v>
      </c>
      <c r="W256" s="9" t="n">
        <f aca="false">L250-$W$4</f>
        <v>-0.182882635567523</v>
      </c>
      <c r="X256" s="9" t="n">
        <f aca="false">M250-$X$4</f>
        <v>-1.77527838933951</v>
      </c>
      <c r="Y256" s="9" t="n">
        <f aca="false">N250-$Y$4</f>
        <v>-0.17671022716404</v>
      </c>
      <c r="Z256" s="9" t="n">
        <f aca="false">O250-$Z$4</f>
        <v>-1.00147271577725</v>
      </c>
      <c r="AA256" s="9" t="n">
        <f aca="false">P250-$AA$4</f>
        <v>-0.230459512642776</v>
      </c>
      <c r="AB256" s="9" t="n">
        <f aca="false">Q250-$AB$4</f>
        <v>-3.39037984431598</v>
      </c>
    </row>
    <row r="257" customFormat="false" ht="15.75" hidden="false" customHeight="false" outlineLevel="0" collapsed="false">
      <c r="B257" s="14" t="s">
        <v>18</v>
      </c>
      <c r="C257" s="28" t="e">
        <f aca="false">(#REF!)/#REF!</f>
        <v>#REF!</v>
      </c>
      <c r="F257" s="30"/>
      <c r="G257" s="2"/>
      <c r="H257" s="24"/>
      <c r="I257" s="24"/>
      <c r="J257" s="24"/>
      <c r="M257" s="8"/>
      <c r="V257" s="9" t="n">
        <f aca="false">K251-$V$4</f>
        <v>1.29271428881788</v>
      </c>
      <c r="W257" s="9" t="n">
        <f aca="false">L251-$W$4</f>
        <v>-1.57652475424974</v>
      </c>
      <c r="X257" s="9" t="n">
        <f aca="false">M251-$X$4</f>
        <v>-0.108908812426564</v>
      </c>
      <c r="Y257" s="9" t="n">
        <f aca="false">N251-$Y$4</f>
        <v>0.556425437885507</v>
      </c>
      <c r="Z257" s="9" t="n">
        <f aca="false">O251-$Z$4</f>
        <v>-0.138458278178154</v>
      </c>
      <c r="AA257" s="9" t="n">
        <f aca="false">P251-$AA$4</f>
        <v>0.393609989470709</v>
      </c>
      <c r="AB257" s="9" t="n">
        <f aca="false">Q251-$AB$4</f>
        <v>-2.53744208689982</v>
      </c>
    </row>
    <row r="258" customFormat="false" ht="15.75" hidden="false" customHeight="false" outlineLevel="0" collapsed="false">
      <c r="B258" s="14" t="s">
        <v>29</v>
      </c>
      <c r="C258" s="28" t="e">
        <f aca="false">(#REF!)/#REF!</f>
        <v>#REF!</v>
      </c>
      <c r="F258" s="30"/>
      <c r="G258" s="2"/>
      <c r="H258" s="24"/>
      <c r="I258" s="24"/>
      <c r="J258" s="24"/>
      <c r="M258" s="8"/>
      <c r="V258" s="9" t="n">
        <f aca="false">K252-$V$4</f>
        <v>-0.0444820561787684</v>
      </c>
      <c r="W258" s="9" t="n">
        <f aca="false">L252-$W$4</f>
        <v>-0.0376193007535395</v>
      </c>
      <c r="X258" s="9" t="n">
        <f aca="false">M252-$X$4</f>
        <v>-0.248773609789107</v>
      </c>
      <c r="Y258" s="9" t="n">
        <f aca="false">N252-$Y$4</f>
        <v>0.0864962744983088</v>
      </c>
      <c r="Z258" s="9" t="n">
        <f aca="false">O252-$Z$4</f>
        <v>-0.192021829756698</v>
      </c>
      <c r="AA258" s="9" t="n">
        <f aca="false">P252-$AA$4</f>
        <v>0.0195404873572167</v>
      </c>
      <c r="AB258" s="9" t="n">
        <f aca="false">Q252-$AB$4</f>
        <v>-0.679257716403149</v>
      </c>
    </row>
    <row r="259" customFormat="false" ht="15.75" hidden="false" customHeight="false" outlineLevel="0" collapsed="false">
      <c r="B259" s="14" t="s">
        <v>20</v>
      </c>
      <c r="C259" s="28" t="e">
        <f aca="false">(#REF!)/#REF!</f>
        <v>#REF!</v>
      </c>
      <c r="F259" s="30"/>
      <c r="G259" s="2"/>
      <c r="H259" s="24"/>
      <c r="I259" s="24"/>
      <c r="J259" s="24"/>
      <c r="M259" s="8"/>
      <c r="V259" s="9"/>
      <c r="W259" s="9"/>
      <c r="X259" s="9"/>
      <c r="Y259" s="9"/>
      <c r="Z259" s="9"/>
      <c r="AA259" s="9"/>
      <c r="AB259" s="9"/>
    </row>
    <row r="260" customFormat="false" ht="15.75" hidden="false" customHeight="false" outlineLevel="0" collapsed="false">
      <c r="B260" s="14" t="s">
        <v>21</v>
      </c>
      <c r="C260" s="28" t="e">
        <f aca="false">(#REF!)/#REF!</f>
        <v>#REF!</v>
      </c>
      <c r="F260" s="30"/>
      <c r="G260" s="2"/>
      <c r="H260" s="24"/>
      <c r="I260" s="24"/>
      <c r="J260" s="24"/>
      <c r="M260" s="8"/>
      <c r="V260" s="9"/>
    </row>
    <row r="261" customFormat="false" ht="15.75" hidden="false" customHeight="false" outlineLevel="0" collapsed="false">
      <c r="B261" s="14" t="s">
        <v>6</v>
      </c>
      <c r="C261" s="28" t="e">
        <f aca="false">(#REF!)/#REF!</f>
        <v>#REF!</v>
      </c>
      <c r="F261" s="30"/>
      <c r="G261" s="2"/>
      <c r="H261" s="24"/>
      <c r="I261" s="24"/>
      <c r="J261" s="24"/>
      <c r="M261" s="8"/>
      <c r="V261" s="9"/>
    </row>
    <row r="262" customFormat="false" ht="15.75" hidden="false" customHeight="false" outlineLevel="0" collapsed="false">
      <c r="B262" s="14" t="s">
        <v>22</v>
      </c>
      <c r="C262" s="28" t="e">
        <f aca="false">(#REF!)/#REF!</f>
        <v>#REF!</v>
      </c>
      <c r="F262" s="30"/>
      <c r="G262" s="2"/>
      <c r="H262" s="24"/>
      <c r="I262" s="24"/>
      <c r="J262" s="24"/>
      <c r="M262" s="8"/>
      <c r="V262" s="9"/>
    </row>
    <row r="263" customFormat="false" ht="15.75" hidden="false" customHeight="false" outlineLevel="0" collapsed="false">
      <c r="A263" s="23"/>
      <c r="C263" s="31" t="s">
        <v>46</v>
      </c>
      <c r="D263" s="30"/>
      <c r="E263" s="30"/>
      <c r="F263" s="30"/>
      <c r="G263" s="2"/>
      <c r="H263" s="24"/>
      <c r="I263" s="24"/>
      <c r="J263" s="24"/>
      <c r="M263" s="8"/>
      <c r="V263" s="9"/>
    </row>
    <row r="264" customFormat="false" ht="15.75" hidden="false" customHeight="false" outlineLevel="0" collapsed="false">
      <c r="A264" s="23"/>
      <c r="C264" s="32" t="s">
        <v>41</v>
      </c>
      <c r="D264" s="30" t="s">
        <v>42</v>
      </c>
      <c r="E264" s="30" t="s">
        <v>43</v>
      </c>
      <c r="F264" s="30" t="s">
        <v>44</v>
      </c>
      <c r="G264" s="2"/>
      <c r="H264" s="24"/>
      <c r="I264" s="24"/>
      <c r="J264" s="24"/>
      <c r="M264" s="8"/>
      <c r="V264" s="9"/>
    </row>
    <row r="265" customFormat="false" ht="15.75" hidden="false" customHeight="false" outlineLevel="0" collapsed="false">
      <c r="A265" s="23"/>
      <c r="C265" s="28" t="n">
        <v>0.498</v>
      </c>
      <c r="D265" s="29" t="n">
        <v>0.351</v>
      </c>
      <c r="E265" s="29" t="n">
        <v>0.045</v>
      </c>
      <c r="F265" s="29" t="n">
        <v>1</v>
      </c>
      <c r="G265" s="2"/>
      <c r="H265" s="24"/>
      <c r="I265" s="24"/>
      <c r="J265" s="24"/>
      <c r="M265" s="8"/>
      <c r="V265" s="9"/>
    </row>
    <row r="266" customFormat="false" ht="15.75" hidden="false" customHeight="false" outlineLevel="0" collapsed="false">
      <c r="A266" s="23"/>
      <c r="C266" s="28" t="n">
        <v>0.502</v>
      </c>
      <c r="D266" s="30"/>
      <c r="E266" s="30"/>
      <c r="F266" s="30"/>
      <c r="G266" s="2"/>
      <c r="H266" s="24"/>
      <c r="I266" s="24"/>
      <c r="J266" s="24"/>
      <c r="M266" s="8"/>
      <c r="V266" s="9"/>
    </row>
    <row r="267" customFormat="false" ht="15.75" hidden="false" customHeight="false" outlineLevel="0" collapsed="false">
      <c r="A267" s="23"/>
      <c r="C267" s="28"/>
      <c r="D267" s="30"/>
      <c r="E267" s="30"/>
      <c r="F267" s="30"/>
      <c r="G267" s="2"/>
      <c r="H267" s="24"/>
      <c r="I267" s="24"/>
      <c r="J267" s="24"/>
      <c r="M267" s="8"/>
    </row>
    <row r="268" customFormat="false" ht="15.75" hidden="false" customHeight="false" outlineLevel="0" collapsed="false">
      <c r="A268" s="23"/>
      <c r="C268" s="28"/>
      <c r="D268" s="30"/>
      <c r="E268" s="30"/>
      <c r="F268" s="30"/>
      <c r="G268" s="2"/>
      <c r="H268" s="24"/>
      <c r="I268" s="24"/>
      <c r="J268" s="24"/>
      <c r="M268" s="8"/>
    </row>
    <row r="269" customFormat="false" ht="15.75" hidden="false" customHeight="false" outlineLevel="0" collapsed="false">
      <c r="A269" s="23"/>
      <c r="C269" s="28"/>
      <c r="D269" s="30"/>
      <c r="E269" s="30"/>
      <c r="F269" s="30"/>
      <c r="G269" s="2"/>
      <c r="H269" s="24"/>
      <c r="I269" s="24"/>
      <c r="J269" s="24"/>
      <c r="M269" s="8"/>
    </row>
    <row r="270" customFormat="false" ht="15.75" hidden="false" customHeight="false" outlineLevel="0" collapsed="false">
      <c r="A270" s="23"/>
      <c r="C270" s="28"/>
      <c r="D270" s="30"/>
      <c r="E270" s="30"/>
      <c r="F270" s="30"/>
      <c r="G270" s="2"/>
      <c r="H270" s="24"/>
      <c r="I270" s="24"/>
      <c r="J270" s="24"/>
      <c r="M270" s="8"/>
    </row>
    <row r="271" customFormat="false" ht="15.75" hidden="false" customHeight="false" outlineLevel="0" collapsed="false">
      <c r="A271" s="23"/>
      <c r="C271" s="28"/>
      <c r="D271" s="30"/>
      <c r="E271" s="30"/>
      <c r="F271" s="30"/>
      <c r="G271" s="2"/>
      <c r="H271" s="24"/>
      <c r="I271" s="24"/>
      <c r="J271" s="24"/>
      <c r="M271" s="8"/>
    </row>
    <row r="272" customFormat="false" ht="15.75" hidden="false" customHeight="false" outlineLevel="0" collapsed="false">
      <c r="A272" s="23"/>
      <c r="C272" s="31" t="s">
        <v>47</v>
      </c>
      <c r="D272" s="30"/>
      <c r="E272" s="30"/>
      <c r="F272" s="30"/>
      <c r="G272" s="2"/>
      <c r="H272" s="24"/>
      <c r="I272" s="24"/>
      <c r="J272" s="24"/>
      <c r="M272" s="8"/>
    </row>
    <row r="273" customFormat="false" ht="15.75" hidden="false" customHeight="false" outlineLevel="0" collapsed="false">
      <c r="A273" s="23"/>
      <c r="C273" s="28" t="n">
        <v>0.8361</v>
      </c>
      <c r="D273" s="29" t="n">
        <v>0.5</v>
      </c>
      <c r="E273" s="29" t="n">
        <v>0.0566</v>
      </c>
      <c r="F273" s="29" t="n">
        <v>1</v>
      </c>
      <c r="G273" s="2"/>
      <c r="H273" s="24"/>
      <c r="I273" s="24"/>
      <c r="J273" s="24"/>
      <c r="M273" s="8"/>
    </row>
    <row r="274" customFormat="false" ht="15.75" hidden="false" customHeight="false" outlineLevel="0" collapsed="false">
      <c r="A274" s="23"/>
      <c r="C274" s="33" t="n">
        <v>0.1639</v>
      </c>
      <c r="D274" s="34"/>
      <c r="E274" s="34"/>
      <c r="F274" s="34"/>
      <c r="G274" s="2"/>
      <c r="H274" s="24"/>
      <c r="I274" s="24"/>
      <c r="J274" s="24"/>
      <c r="M274" s="8"/>
    </row>
    <row r="275" customFormat="false" ht="15.75" hidden="false" customHeight="false" outlineLevel="0" collapsed="false">
      <c r="A275" s="23"/>
      <c r="C275" s="33"/>
      <c r="D275" s="34"/>
      <c r="E275" s="34"/>
      <c r="F275" s="34"/>
      <c r="G275" s="2"/>
      <c r="H275" s="24"/>
      <c r="I275" s="24"/>
      <c r="J275" s="24"/>
      <c r="M275" s="8"/>
    </row>
    <row r="276" customFormat="false" ht="15.75" hidden="false" customHeight="false" outlineLevel="0" collapsed="false">
      <c r="A276" s="23"/>
      <c r="C276" s="33"/>
      <c r="D276" s="34"/>
      <c r="E276" s="34"/>
      <c r="F276" s="34"/>
      <c r="G276" s="2"/>
      <c r="H276" s="24"/>
      <c r="I276" s="24"/>
      <c r="J276" s="24"/>
      <c r="M276" s="8"/>
    </row>
    <row r="277" customFormat="false" ht="15.75" hidden="false" customHeight="false" outlineLevel="0" collapsed="false">
      <c r="A277" s="23"/>
      <c r="C277" s="33"/>
      <c r="D277" s="34"/>
      <c r="E277" s="34"/>
      <c r="F277" s="34"/>
      <c r="G277" s="2"/>
      <c r="H277" s="24"/>
      <c r="I277" s="24"/>
      <c r="J277" s="24"/>
      <c r="M277" s="8"/>
    </row>
    <row r="278" customFormat="false" ht="15.75" hidden="false" customHeight="false" outlineLevel="0" collapsed="false">
      <c r="A278" s="23"/>
      <c r="C278" s="33"/>
      <c r="D278" s="34"/>
      <c r="E278" s="34"/>
      <c r="F278" s="34"/>
      <c r="G278" s="2"/>
      <c r="H278" s="24"/>
      <c r="I278" s="24"/>
      <c r="J278" s="24"/>
      <c r="M278" s="8"/>
    </row>
    <row r="279" customFormat="false" ht="15.75" hidden="false" customHeight="false" outlineLevel="0" collapsed="false">
      <c r="A279" s="23"/>
      <c r="C279" s="33"/>
      <c r="D279" s="34"/>
      <c r="E279" s="34"/>
      <c r="F279" s="34"/>
      <c r="G279" s="2"/>
      <c r="H279" s="24"/>
      <c r="I279" s="24"/>
      <c r="J279" s="24"/>
      <c r="M279" s="8"/>
    </row>
    <row r="280" customFormat="false" ht="15.75" hidden="false" customHeight="false" outlineLevel="0" collapsed="false">
      <c r="A280" s="23"/>
      <c r="C280" s="35" t="s">
        <v>48</v>
      </c>
      <c r="D280" s="27"/>
      <c r="E280" s="27"/>
      <c r="F280" s="27"/>
      <c r="G280" s="2"/>
      <c r="H280" s="24"/>
      <c r="I280" s="24"/>
      <c r="J280" s="24"/>
      <c r="M280" s="8"/>
    </row>
    <row r="281" customFormat="false" ht="15.75" hidden="false" customHeight="false" outlineLevel="0" collapsed="false">
      <c r="A281" s="23"/>
      <c r="C281" s="28" t="n">
        <v>1.4048</v>
      </c>
      <c r="D281" s="29" t="n">
        <v>0.75</v>
      </c>
      <c r="E281" s="29" t="n">
        <v>0.1285</v>
      </c>
      <c r="F281" s="29" t="n">
        <v>1</v>
      </c>
      <c r="G281" s="2"/>
      <c r="H281" s="24"/>
      <c r="I281" s="24"/>
      <c r="J281" s="24"/>
      <c r="M281" s="8"/>
    </row>
    <row r="282" customFormat="false" ht="15.75" hidden="false" customHeight="false" outlineLevel="0" collapsed="false">
      <c r="A282" s="23"/>
      <c r="C282" s="33" t="n">
        <v>-0.4048</v>
      </c>
      <c r="D282" s="34"/>
      <c r="E282" s="34"/>
      <c r="F282" s="34"/>
      <c r="G282" s="2"/>
      <c r="H282" s="24"/>
      <c r="I282" s="24"/>
      <c r="J282" s="24"/>
      <c r="M282" s="8"/>
    </row>
    <row r="283" customFormat="false" ht="15.75" hidden="false" customHeight="false" outlineLevel="0" collapsed="false">
      <c r="A283" s="23"/>
      <c r="C283" s="33"/>
      <c r="D283" s="34"/>
      <c r="E283" s="34"/>
      <c r="F283" s="34"/>
      <c r="G283" s="2"/>
      <c r="H283" s="24"/>
      <c r="I283" s="24"/>
      <c r="J283" s="24"/>
      <c r="M283" s="8"/>
    </row>
    <row r="284" customFormat="false" ht="15.75" hidden="false" customHeight="false" outlineLevel="0" collapsed="false">
      <c r="A284" s="23"/>
      <c r="C284" s="33"/>
      <c r="D284" s="34"/>
      <c r="E284" s="34"/>
      <c r="F284" s="34"/>
      <c r="G284" s="2"/>
      <c r="H284" s="24"/>
      <c r="I284" s="24"/>
      <c r="J284" s="24"/>
      <c r="M284" s="8"/>
    </row>
    <row r="285" customFormat="false" ht="15.75" hidden="false" customHeight="false" outlineLevel="0" collapsed="false">
      <c r="A285" s="23"/>
      <c r="C285" s="33"/>
      <c r="D285" s="34"/>
      <c r="E285" s="34"/>
      <c r="F285" s="34"/>
      <c r="G285" s="2"/>
      <c r="H285" s="24"/>
      <c r="I285" s="24"/>
      <c r="J285" s="24"/>
      <c r="M285" s="8"/>
    </row>
    <row r="286" customFormat="false" ht="15.75" hidden="false" customHeight="false" outlineLevel="0" collapsed="false">
      <c r="A286" s="23"/>
      <c r="C286" s="33"/>
      <c r="D286" s="34"/>
      <c r="E286" s="34"/>
      <c r="F286" s="34"/>
      <c r="G286" s="2"/>
      <c r="H286" s="24"/>
      <c r="I286" s="24"/>
      <c r="J286" s="24"/>
      <c r="M286" s="8"/>
    </row>
    <row r="287" customFormat="false" ht="15.75" hidden="false" customHeight="false" outlineLevel="0" collapsed="false">
      <c r="A287" s="23"/>
      <c r="C287" s="33"/>
      <c r="D287" s="34"/>
      <c r="E287" s="34"/>
      <c r="F287" s="34"/>
      <c r="G287" s="2"/>
      <c r="H287" s="24"/>
      <c r="I287" s="24"/>
      <c r="J287" s="24"/>
      <c r="M287" s="8"/>
    </row>
    <row r="288" customFormat="false" ht="15.75" hidden="false" customHeight="false" outlineLevel="0" collapsed="false">
      <c r="A288" s="23"/>
      <c r="C288" s="35" t="s">
        <v>49</v>
      </c>
      <c r="D288" s="36"/>
      <c r="E288" s="36"/>
      <c r="F288" s="36"/>
      <c r="G288" s="2"/>
      <c r="H288" s="36"/>
      <c r="I288" s="37"/>
      <c r="J288" s="37"/>
      <c r="M288" s="8"/>
    </row>
    <row r="289" customFormat="false" ht="15.75" hidden="false" customHeight="false" outlineLevel="0" collapsed="false">
      <c r="A289" s="23"/>
      <c r="C289" s="28" t="n">
        <v>1.1435</v>
      </c>
      <c r="D289" s="29" t="n">
        <v>0.6351</v>
      </c>
      <c r="E289" s="29" t="n">
        <v>0.0873</v>
      </c>
      <c r="F289" s="29" t="n">
        <v>1</v>
      </c>
      <c r="G289" s="2"/>
      <c r="H289" s="29" t="n">
        <v>0.05</v>
      </c>
      <c r="I289" s="12"/>
      <c r="J289" s="12"/>
      <c r="M289" s="8"/>
    </row>
    <row r="290" customFormat="false" ht="15.75" hidden="false" customHeight="false" outlineLevel="0" collapsed="false">
      <c r="A290" s="23"/>
      <c r="C290" s="28" t="n">
        <v>-0.1435</v>
      </c>
      <c r="D290" s="30"/>
      <c r="E290" s="30"/>
      <c r="F290" s="30"/>
      <c r="G290" s="2"/>
      <c r="H290" s="30"/>
      <c r="I290" s="24"/>
      <c r="J290" s="24"/>
      <c r="M290" s="8"/>
    </row>
    <row r="291" customFormat="false" ht="15.75" hidden="false" customHeight="false" outlineLevel="0" collapsed="false">
      <c r="A291" s="23"/>
      <c r="C291" s="31" t="s">
        <v>50</v>
      </c>
      <c r="D291" s="38"/>
      <c r="E291" s="38"/>
      <c r="F291" s="38"/>
      <c r="G291" s="2"/>
      <c r="H291" s="38"/>
      <c r="I291" s="37"/>
      <c r="J291" s="37"/>
      <c r="M291" s="8"/>
    </row>
    <row r="292" customFormat="false" ht="15.75" hidden="false" customHeight="false" outlineLevel="0" collapsed="false">
      <c r="A292" s="23"/>
      <c r="C292" s="28" t="n">
        <v>1</v>
      </c>
      <c r="D292" s="29" t="n">
        <v>0.572</v>
      </c>
      <c r="E292" s="29" t="n">
        <v>0.071</v>
      </c>
      <c r="F292" s="29" t="n">
        <v>1</v>
      </c>
      <c r="G292" s="2"/>
      <c r="H292" s="29" t="n">
        <v>0.05</v>
      </c>
      <c r="I292" s="12"/>
      <c r="J292" s="12"/>
      <c r="M292" s="8"/>
    </row>
    <row r="293" customFormat="false" ht="15.75" hidden="false" customHeight="false" outlineLevel="0" collapsed="false">
      <c r="A293" s="23"/>
      <c r="C293" s="28" t="n">
        <v>0</v>
      </c>
      <c r="D293" s="30"/>
      <c r="E293" s="30"/>
      <c r="F293" s="30"/>
      <c r="G293" s="2"/>
      <c r="H293" s="30"/>
      <c r="I293" s="24"/>
      <c r="J293" s="24"/>
      <c r="M293" s="8"/>
    </row>
    <row r="294" customFormat="false" ht="14.25" hidden="false" customHeight="false" outlineLevel="0" collapsed="false">
      <c r="A294" s="23"/>
      <c r="E294" s="8"/>
      <c r="G294" s="2"/>
      <c r="M294" s="8"/>
    </row>
    <row r="295" customFormat="false" ht="14.25" hidden="false" customHeight="false" outlineLevel="0" collapsed="false">
      <c r="A295" s="23"/>
      <c r="E295" s="8"/>
      <c r="G295" s="2"/>
      <c r="M295" s="8"/>
    </row>
    <row r="296" customFormat="false" ht="14.25" hidden="false" customHeight="false" outlineLevel="0" collapsed="false">
      <c r="A296" s="23"/>
      <c r="E296" s="8"/>
      <c r="G296" s="2"/>
      <c r="M296" s="8"/>
    </row>
    <row r="297" customFormat="false" ht="14.25" hidden="false" customHeight="false" outlineLevel="0" collapsed="false">
      <c r="A297" s="23"/>
      <c r="E297" s="8"/>
      <c r="G297" s="2"/>
      <c r="M297" s="8"/>
    </row>
    <row r="298" customFormat="false" ht="14.25" hidden="false" customHeight="false" outlineLevel="0" collapsed="false">
      <c r="A298" s="23"/>
      <c r="E298" s="8"/>
      <c r="G298" s="2"/>
      <c r="M298" s="8"/>
    </row>
    <row r="299" customFormat="false" ht="14.25" hidden="false" customHeight="false" outlineLevel="0" collapsed="false">
      <c r="A299" s="23"/>
      <c r="E299" s="8"/>
      <c r="G299" s="2"/>
      <c r="M299" s="8"/>
    </row>
    <row r="300" customFormat="false" ht="14.25" hidden="false" customHeight="false" outlineLevel="0" collapsed="false">
      <c r="A300" s="23"/>
      <c r="E300" s="8"/>
      <c r="G300" s="2"/>
      <c r="M300" s="8"/>
    </row>
    <row r="301" customFormat="false" ht="14.25" hidden="false" customHeight="false" outlineLevel="0" collapsed="false">
      <c r="A301" s="23"/>
      <c r="E301" s="8"/>
      <c r="G301" s="2"/>
      <c r="M301" s="8"/>
    </row>
    <row r="302" customFormat="false" ht="14.25" hidden="false" customHeight="false" outlineLevel="0" collapsed="false">
      <c r="A302" s="23"/>
      <c r="E302" s="8"/>
      <c r="G302" s="2"/>
      <c r="M302" s="8"/>
    </row>
    <row r="303" customFormat="false" ht="14.25" hidden="false" customHeight="false" outlineLevel="0" collapsed="false">
      <c r="A303" s="23"/>
      <c r="E303" s="8"/>
      <c r="G303" s="2"/>
      <c r="M303" s="8"/>
    </row>
    <row r="304" customFormat="false" ht="14.25" hidden="false" customHeight="false" outlineLevel="0" collapsed="false">
      <c r="A304" s="23"/>
      <c r="E304" s="8"/>
      <c r="G304" s="2"/>
      <c r="M304" s="8"/>
      <c r="Y304" s="8"/>
    </row>
    <row r="305" customFormat="false" ht="14.25" hidden="false" customHeight="false" outlineLevel="0" collapsed="false">
      <c r="A305" s="23"/>
      <c r="E305" s="8"/>
      <c r="G305" s="2"/>
      <c r="M305" s="8"/>
      <c r="Y305" s="8"/>
    </row>
    <row r="306" customFormat="false" ht="14.25" hidden="false" customHeight="false" outlineLevel="0" collapsed="false">
      <c r="A306" s="23"/>
      <c r="E306" s="8"/>
      <c r="G306" s="2"/>
      <c r="M306" s="8"/>
      <c r="Y306" s="8"/>
    </row>
    <row r="307" customFormat="false" ht="14.25" hidden="false" customHeight="false" outlineLevel="0" collapsed="false">
      <c r="A307" s="23"/>
      <c r="E307" s="8"/>
      <c r="G307" s="2"/>
      <c r="M307" s="8"/>
      <c r="Y307" s="8"/>
    </row>
    <row r="308" customFormat="false" ht="14.25" hidden="false" customHeight="false" outlineLevel="0" collapsed="false">
      <c r="A308" s="23"/>
      <c r="E308" s="8"/>
      <c r="G308" s="2"/>
      <c r="M308" s="8"/>
      <c r="Y308" s="8"/>
    </row>
    <row r="309" customFormat="false" ht="14.25" hidden="false" customHeight="false" outlineLevel="0" collapsed="false">
      <c r="A309" s="23"/>
      <c r="E309" s="8"/>
      <c r="G309" s="2"/>
      <c r="M309" s="8"/>
      <c r="Y309" s="8"/>
    </row>
    <row r="310" customFormat="false" ht="14.25" hidden="false" customHeight="false" outlineLevel="0" collapsed="false">
      <c r="A310" s="23"/>
      <c r="E310" s="8"/>
      <c r="G310" s="2"/>
      <c r="M310" s="8"/>
      <c r="Y310" s="8"/>
    </row>
    <row r="311" customFormat="false" ht="14.25" hidden="false" customHeight="false" outlineLevel="0" collapsed="false">
      <c r="A311" s="23"/>
      <c r="E311" s="8"/>
      <c r="G311" s="2"/>
      <c r="M311" s="8"/>
      <c r="Y311" s="8"/>
    </row>
    <row r="312" customFormat="false" ht="14.25" hidden="false" customHeight="false" outlineLevel="0" collapsed="false">
      <c r="A312" s="23"/>
      <c r="E312" s="8"/>
      <c r="G312" s="2"/>
      <c r="M312" s="8"/>
      <c r="Y312" s="8"/>
    </row>
    <row r="313" customFormat="false" ht="14.25" hidden="false" customHeight="false" outlineLevel="0" collapsed="false">
      <c r="A313" s="23"/>
      <c r="E313" s="8"/>
      <c r="G313" s="2"/>
      <c r="M313" s="8"/>
      <c r="Y313" s="8"/>
    </row>
    <row r="314" customFormat="false" ht="14.25" hidden="false" customHeight="false" outlineLevel="0" collapsed="false">
      <c r="A314" s="23"/>
      <c r="E314" s="8"/>
      <c r="G314" s="2"/>
      <c r="M314" s="8"/>
      <c r="Y314" s="8"/>
    </row>
    <row r="315" customFormat="false" ht="14.25" hidden="false" customHeight="false" outlineLevel="0" collapsed="false">
      <c r="A315" s="23"/>
      <c r="E315" s="8"/>
      <c r="G315" s="2"/>
      <c r="M315" s="8"/>
      <c r="Y315" s="8"/>
    </row>
    <row r="316" customFormat="false" ht="14.25" hidden="false" customHeight="false" outlineLevel="0" collapsed="false">
      <c r="A316" s="23"/>
      <c r="E316" s="8"/>
      <c r="G316" s="2"/>
      <c r="M316" s="8"/>
      <c r="Y316" s="8"/>
    </row>
    <row r="317" customFormat="false" ht="14.25" hidden="false" customHeight="false" outlineLevel="0" collapsed="false">
      <c r="A317" s="23"/>
      <c r="E317" s="8"/>
      <c r="G317" s="2"/>
      <c r="M317" s="8"/>
      <c r="Y317" s="8"/>
    </row>
    <row r="318" customFormat="false" ht="14.25" hidden="false" customHeight="false" outlineLevel="0" collapsed="false">
      <c r="A318" s="23"/>
      <c r="E318" s="8"/>
      <c r="G318" s="2"/>
      <c r="M318" s="8"/>
      <c r="Y318" s="8"/>
    </row>
    <row r="319" customFormat="false" ht="14.25" hidden="false" customHeight="false" outlineLevel="0" collapsed="false">
      <c r="A319" s="23"/>
      <c r="E319" s="8"/>
      <c r="G319" s="2"/>
      <c r="M319" s="8"/>
      <c r="Y319" s="8"/>
    </row>
    <row r="320" customFormat="false" ht="14.25" hidden="false" customHeight="false" outlineLevel="0" collapsed="false">
      <c r="A320" s="23"/>
      <c r="E320" s="8"/>
      <c r="G320" s="2"/>
      <c r="M320" s="8"/>
      <c r="Y320" s="8"/>
    </row>
    <row r="321" customFormat="false" ht="14.25" hidden="false" customHeight="false" outlineLevel="0" collapsed="false">
      <c r="A321" s="23"/>
      <c r="E321" s="8"/>
      <c r="G321" s="2"/>
      <c r="M321" s="8"/>
      <c r="Y321" s="8"/>
    </row>
    <row r="322" customFormat="false" ht="14.25" hidden="false" customHeight="false" outlineLevel="0" collapsed="false">
      <c r="A322" s="23"/>
      <c r="E322" s="8"/>
      <c r="G322" s="2"/>
      <c r="M322" s="8"/>
      <c r="Y322" s="8"/>
    </row>
    <row r="323" customFormat="false" ht="14.25" hidden="false" customHeight="false" outlineLevel="0" collapsed="false">
      <c r="A323" s="23"/>
      <c r="E323" s="8"/>
      <c r="G323" s="2"/>
      <c r="M323" s="8"/>
      <c r="Y323" s="8"/>
    </row>
    <row r="324" customFormat="false" ht="14.25" hidden="false" customHeight="false" outlineLevel="0" collapsed="false">
      <c r="A324" s="23"/>
      <c r="E324" s="8"/>
      <c r="G324" s="2"/>
      <c r="M324" s="8"/>
      <c r="Y324" s="8"/>
    </row>
    <row r="325" customFormat="false" ht="14.25" hidden="false" customHeight="false" outlineLevel="0" collapsed="false">
      <c r="A325" s="23"/>
      <c r="E325" s="8"/>
      <c r="G325" s="2"/>
      <c r="M325" s="8"/>
      <c r="Y325" s="8"/>
    </row>
    <row r="326" customFormat="false" ht="14.25" hidden="false" customHeight="false" outlineLevel="0" collapsed="false">
      <c r="A326" s="23"/>
      <c r="E326" s="8"/>
      <c r="G326" s="2"/>
      <c r="M326" s="8"/>
      <c r="Y326" s="8"/>
    </row>
    <row r="327" customFormat="false" ht="14.25" hidden="false" customHeight="false" outlineLevel="0" collapsed="false">
      <c r="A327" s="23"/>
      <c r="E327" s="8"/>
      <c r="G327" s="2"/>
      <c r="M327" s="8"/>
      <c r="Y327" s="8"/>
    </row>
    <row r="328" customFormat="false" ht="14.25" hidden="false" customHeight="false" outlineLevel="0" collapsed="false">
      <c r="A328" s="23"/>
      <c r="E328" s="8"/>
      <c r="G328" s="2"/>
      <c r="M328" s="8"/>
      <c r="Y328" s="8"/>
    </row>
    <row r="329" customFormat="false" ht="14.25" hidden="false" customHeight="false" outlineLevel="0" collapsed="false">
      <c r="A329" s="23"/>
      <c r="E329" s="8"/>
      <c r="G329" s="2"/>
      <c r="M329" s="8"/>
      <c r="Y329" s="8"/>
    </row>
    <row r="330" customFormat="false" ht="14.25" hidden="false" customHeight="false" outlineLevel="0" collapsed="false">
      <c r="A330" s="23"/>
      <c r="E330" s="8"/>
      <c r="G330" s="2"/>
      <c r="M330" s="8"/>
      <c r="Y330" s="8"/>
    </row>
    <row r="331" customFormat="false" ht="14.25" hidden="false" customHeight="false" outlineLevel="0" collapsed="false">
      <c r="A331" s="23"/>
      <c r="E331" s="8"/>
      <c r="G331" s="2"/>
      <c r="M331" s="8"/>
      <c r="Y331" s="8"/>
    </row>
    <row r="332" customFormat="false" ht="14.25" hidden="false" customHeight="false" outlineLevel="0" collapsed="false">
      <c r="A332" s="23"/>
      <c r="E332" s="8"/>
      <c r="G332" s="2"/>
      <c r="M332" s="8"/>
      <c r="Y332" s="8"/>
    </row>
    <row r="333" customFormat="false" ht="14.25" hidden="false" customHeight="false" outlineLevel="0" collapsed="false">
      <c r="A333" s="23"/>
      <c r="E333" s="8"/>
      <c r="G333" s="2"/>
      <c r="M333" s="8"/>
      <c r="Y333" s="8"/>
    </row>
    <row r="334" customFormat="false" ht="14.25" hidden="false" customHeight="false" outlineLevel="0" collapsed="false">
      <c r="A334" s="23"/>
      <c r="E334" s="8"/>
      <c r="G334" s="2"/>
      <c r="M334" s="8"/>
      <c r="Y334" s="8"/>
    </row>
    <row r="335" customFormat="false" ht="14.25" hidden="false" customHeight="false" outlineLevel="0" collapsed="false">
      <c r="A335" s="23"/>
      <c r="E335" s="8"/>
      <c r="G335" s="2"/>
      <c r="M335" s="8"/>
      <c r="Y335" s="8"/>
    </row>
    <row r="336" customFormat="false" ht="14.25" hidden="false" customHeight="false" outlineLevel="0" collapsed="false">
      <c r="A336" s="23"/>
      <c r="E336" s="8"/>
      <c r="G336" s="2"/>
      <c r="M336" s="8"/>
      <c r="Y336" s="8"/>
    </row>
    <row r="337" customFormat="false" ht="14.25" hidden="false" customHeight="false" outlineLevel="0" collapsed="false">
      <c r="A337" s="23"/>
      <c r="E337" s="8"/>
      <c r="G337" s="2"/>
      <c r="M337" s="8"/>
      <c r="Y337" s="8"/>
    </row>
    <row r="338" customFormat="false" ht="14.25" hidden="false" customHeight="false" outlineLevel="0" collapsed="false">
      <c r="A338" s="23"/>
      <c r="E338" s="8"/>
      <c r="G338" s="2"/>
      <c r="M338" s="8"/>
      <c r="Y338" s="8"/>
    </row>
    <row r="339" customFormat="false" ht="14.25" hidden="false" customHeight="false" outlineLevel="0" collapsed="false">
      <c r="A339" s="23"/>
      <c r="E339" s="8"/>
      <c r="G339" s="2"/>
      <c r="M339" s="8"/>
      <c r="Y339" s="8"/>
    </row>
    <row r="340" customFormat="false" ht="14.25" hidden="false" customHeight="false" outlineLevel="0" collapsed="false">
      <c r="A340" s="23"/>
      <c r="E340" s="8"/>
      <c r="G340" s="2"/>
      <c r="M340" s="8"/>
      <c r="Y340" s="8"/>
    </row>
    <row r="341" customFormat="false" ht="14.25" hidden="false" customHeight="false" outlineLevel="0" collapsed="false">
      <c r="A341" s="23"/>
      <c r="E341" s="8"/>
      <c r="G341" s="2"/>
      <c r="M341" s="8"/>
      <c r="Y341" s="8"/>
    </row>
    <row r="342" customFormat="false" ht="14.25" hidden="false" customHeight="false" outlineLevel="0" collapsed="false">
      <c r="A342" s="23"/>
      <c r="E342" s="8"/>
      <c r="G342" s="2"/>
      <c r="M342" s="8"/>
      <c r="Y342" s="8"/>
    </row>
    <row r="343" customFormat="false" ht="14.25" hidden="false" customHeight="false" outlineLevel="0" collapsed="false">
      <c r="A343" s="23"/>
      <c r="E343" s="8"/>
      <c r="G343" s="2"/>
      <c r="M343" s="8"/>
      <c r="Y343" s="8"/>
    </row>
    <row r="344" customFormat="false" ht="14.25" hidden="false" customHeight="false" outlineLevel="0" collapsed="false">
      <c r="A344" s="23"/>
      <c r="E344" s="8"/>
      <c r="G344" s="2"/>
      <c r="M344" s="8"/>
      <c r="Y344" s="8"/>
    </row>
    <row r="345" customFormat="false" ht="14.25" hidden="false" customHeight="false" outlineLevel="0" collapsed="false">
      <c r="A345" s="23"/>
      <c r="E345" s="8"/>
      <c r="G345" s="2"/>
      <c r="M345" s="8"/>
      <c r="Y345" s="8"/>
    </row>
    <row r="346" customFormat="false" ht="14.25" hidden="false" customHeight="false" outlineLevel="0" collapsed="false">
      <c r="A346" s="23"/>
      <c r="E346" s="8"/>
      <c r="G346" s="2"/>
      <c r="M346" s="8"/>
      <c r="Y346" s="8"/>
    </row>
    <row r="347" customFormat="false" ht="14.25" hidden="false" customHeight="false" outlineLevel="0" collapsed="false">
      <c r="A347" s="23"/>
      <c r="E347" s="8"/>
      <c r="G347" s="2"/>
      <c r="M347" s="8"/>
      <c r="Y347" s="8"/>
    </row>
    <row r="348" customFormat="false" ht="14.25" hidden="false" customHeight="false" outlineLevel="0" collapsed="false">
      <c r="A348" s="23"/>
      <c r="E348" s="8"/>
      <c r="G348" s="2"/>
      <c r="M348" s="8"/>
      <c r="Y348" s="8"/>
    </row>
    <row r="349" customFormat="false" ht="14.25" hidden="false" customHeight="false" outlineLevel="0" collapsed="false">
      <c r="A349" s="23"/>
      <c r="E349" s="8"/>
      <c r="G349" s="2"/>
      <c r="M349" s="8"/>
      <c r="Y349" s="8"/>
    </row>
    <row r="350" customFormat="false" ht="14.25" hidden="false" customHeight="false" outlineLevel="0" collapsed="false">
      <c r="A350" s="23"/>
      <c r="E350" s="8"/>
      <c r="G350" s="2"/>
      <c r="M350" s="8"/>
      <c r="Y350" s="8"/>
    </row>
    <row r="351" customFormat="false" ht="14.25" hidden="false" customHeight="false" outlineLevel="0" collapsed="false">
      <c r="A351" s="23"/>
      <c r="E351" s="8"/>
      <c r="G351" s="2"/>
      <c r="M351" s="8"/>
      <c r="Y351" s="8"/>
    </row>
    <row r="352" customFormat="false" ht="14.25" hidden="false" customHeight="false" outlineLevel="0" collapsed="false">
      <c r="A352" s="23"/>
      <c r="E352" s="8"/>
      <c r="G352" s="2"/>
      <c r="M352" s="8"/>
      <c r="Y352" s="8"/>
    </row>
    <row r="353" customFormat="false" ht="14.25" hidden="false" customHeight="false" outlineLevel="0" collapsed="false">
      <c r="A353" s="23"/>
      <c r="E353" s="8"/>
      <c r="G353" s="2"/>
      <c r="M353" s="8"/>
      <c r="Y353" s="8"/>
    </row>
    <row r="354" customFormat="false" ht="14.25" hidden="false" customHeight="false" outlineLevel="0" collapsed="false">
      <c r="A354" s="23"/>
      <c r="E354" s="8"/>
      <c r="G354" s="2"/>
      <c r="M354" s="8"/>
      <c r="Y354" s="8"/>
    </row>
    <row r="355" customFormat="false" ht="14.25" hidden="false" customHeight="false" outlineLevel="0" collapsed="false">
      <c r="A355" s="23"/>
      <c r="E355" s="8"/>
      <c r="G355" s="2"/>
      <c r="M355" s="8"/>
      <c r="Y355" s="8"/>
    </row>
    <row r="356" customFormat="false" ht="14.25" hidden="false" customHeight="false" outlineLevel="0" collapsed="false">
      <c r="A356" s="23"/>
      <c r="E356" s="8"/>
      <c r="G356" s="2"/>
      <c r="M356" s="8"/>
      <c r="Y356" s="8"/>
    </row>
    <row r="357" customFormat="false" ht="14.25" hidden="false" customHeight="false" outlineLevel="0" collapsed="false">
      <c r="A357" s="23"/>
      <c r="E357" s="8"/>
      <c r="G357" s="2"/>
      <c r="M357" s="8"/>
      <c r="Y357" s="8"/>
    </row>
    <row r="358" customFormat="false" ht="14.25" hidden="false" customHeight="false" outlineLevel="0" collapsed="false">
      <c r="A358" s="23"/>
      <c r="E358" s="8"/>
      <c r="G358" s="2"/>
      <c r="M358" s="8"/>
      <c r="Y358" s="8"/>
    </row>
    <row r="359" customFormat="false" ht="14.25" hidden="false" customHeight="false" outlineLevel="0" collapsed="false">
      <c r="A359" s="23"/>
      <c r="E359" s="8"/>
      <c r="G359" s="2"/>
      <c r="M359" s="8"/>
      <c r="Y359" s="8"/>
    </row>
    <row r="360" customFormat="false" ht="14.25" hidden="false" customHeight="false" outlineLevel="0" collapsed="false">
      <c r="A360" s="23"/>
      <c r="E360" s="8"/>
      <c r="G360" s="2"/>
      <c r="M360" s="8"/>
      <c r="Y360" s="8"/>
    </row>
    <row r="361" customFormat="false" ht="14.25" hidden="false" customHeight="false" outlineLevel="0" collapsed="false">
      <c r="A361" s="23"/>
      <c r="E361" s="8"/>
      <c r="G361" s="2"/>
      <c r="M361" s="8"/>
      <c r="Y361" s="8"/>
    </row>
    <row r="362" customFormat="false" ht="14.25" hidden="false" customHeight="false" outlineLevel="0" collapsed="false">
      <c r="A362" s="23"/>
      <c r="E362" s="8"/>
      <c r="G362" s="2"/>
      <c r="M362" s="8"/>
      <c r="Y362" s="8"/>
    </row>
    <row r="363" customFormat="false" ht="14.25" hidden="false" customHeight="false" outlineLevel="0" collapsed="false">
      <c r="A363" s="23"/>
      <c r="E363" s="8"/>
      <c r="G363" s="2"/>
      <c r="M363" s="8"/>
      <c r="Y363" s="8"/>
    </row>
    <row r="364" customFormat="false" ht="14.25" hidden="false" customHeight="false" outlineLevel="0" collapsed="false">
      <c r="A364" s="23"/>
      <c r="E364" s="8"/>
      <c r="G364" s="2"/>
      <c r="M364" s="8"/>
      <c r="Y364" s="8"/>
    </row>
    <row r="365" customFormat="false" ht="14.25" hidden="false" customHeight="false" outlineLevel="0" collapsed="false">
      <c r="A365" s="23"/>
      <c r="E365" s="8"/>
      <c r="G365" s="2"/>
      <c r="M365" s="8"/>
      <c r="Y365" s="8"/>
    </row>
    <row r="366" customFormat="false" ht="14.25" hidden="false" customHeight="false" outlineLevel="0" collapsed="false">
      <c r="A366" s="23"/>
      <c r="E366" s="8"/>
      <c r="G366" s="2"/>
      <c r="M366" s="8"/>
      <c r="Y366" s="8"/>
    </row>
    <row r="367" customFormat="false" ht="14.25" hidden="false" customHeight="false" outlineLevel="0" collapsed="false">
      <c r="A367" s="23"/>
      <c r="E367" s="8"/>
      <c r="G367" s="2"/>
      <c r="M367" s="8"/>
      <c r="Y367" s="8"/>
    </row>
    <row r="368" customFormat="false" ht="14.25" hidden="false" customHeight="false" outlineLevel="0" collapsed="false">
      <c r="A368" s="23"/>
      <c r="E368" s="8"/>
      <c r="G368" s="2"/>
      <c r="M368" s="8"/>
      <c r="Y368" s="8"/>
    </row>
    <row r="369" customFormat="false" ht="14.25" hidden="false" customHeight="false" outlineLevel="0" collapsed="false">
      <c r="A369" s="23"/>
      <c r="E369" s="8"/>
      <c r="G369" s="2"/>
      <c r="M369" s="8"/>
      <c r="Y369" s="8"/>
    </row>
    <row r="370" customFormat="false" ht="14.25" hidden="false" customHeight="false" outlineLevel="0" collapsed="false">
      <c r="A370" s="23"/>
      <c r="E370" s="8"/>
      <c r="G370" s="2"/>
      <c r="M370" s="8"/>
      <c r="Y370" s="8"/>
    </row>
    <row r="371" customFormat="false" ht="14.25" hidden="false" customHeight="false" outlineLevel="0" collapsed="false">
      <c r="A371" s="23"/>
      <c r="E371" s="8"/>
      <c r="G371" s="2"/>
      <c r="M371" s="8"/>
      <c r="Y371" s="8"/>
    </row>
    <row r="372" customFormat="false" ht="14.25" hidden="false" customHeight="false" outlineLevel="0" collapsed="false">
      <c r="A372" s="23"/>
      <c r="E372" s="8"/>
      <c r="G372" s="2"/>
      <c r="M372" s="8"/>
      <c r="Y372" s="8"/>
    </row>
    <row r="373" customFormat="false" ht="14.25" hidden="false" customHeight="false" outlineLevel="0" collapsed="false">
      <c r="A373" s="23"/>
      <c r="E373" s="8"/>
      <c r="G373" s="2"/>
      <c r="M373" s="8"/>
      <c r="Y373" s="8"/>
    </row>
    <row r="374" customFormat="false" ht="14.25" hidden="false" customHeight="false" outlineLevel="0" collapsed="false">
      <c r="A374" s="23"/>
      <c r="E374" s="8"/>
      <c r="G374" s="2"/>
      <c r="M374" s="8"/>
      <c r="Y374" s="8"/>
    </row>
    <row r="375" customFormat="false" ht="14.25" hidden="false" customHeight="false" outlineLevel="0" collapsed="false">
      <c r="A375" s="23"/>
      <c r="E375" s="8"/>
      <c r="G375" s="2"/>
      <c r="M375" s="8"/>
      <c r="Y375" s="8"/>
    </row>
    <row r="376" customFormat="false" ht="14.25" hidden="false" customHeight="false" outlineLevel="0" collapsed="false">
      <c r="A376" s="23"/>
      <c r="E376" s="8"/>
      <c r="G376" s="2"/>
      <c r="M376" s="8"/>
      <c r="Y376" s="8"/>
    </row>
    <row r="377" customFormat="false" ht="14.25" hidden="false" customHeight="false" outlineLevel="0" collapsed="false">
      <c r="A377" s="23"/>
      <c r="E377" s="8"/>
      <c r="G377" s="2"/>
      <c r="M377" s="8"/>
      <c r="Y377" s="8"/>
    </row>
    <row r="378" customFormat="false" ht="14.25" hidden="false" customHeight="false" outlineLevel="0" collapsed="false">
      <c r="A378" s="23"/>
      <c r="E378" s="8"/>
      <c r="G378" s="2"/>
      <c r="M378" s="8"/>
      <c r="Y378" s="8"/>
    </row>
    <row r="379" customFormat="false" ht="14.25" hidden="false" customHeight="false" outlineLevel="0" collapsed="false">
      <c r="A379" s="23"/>
      <c r="E379" s="8"/>
      <c r="G379" s="2"/>
      <c r="M379" s="8"/>
      <c r="Y379" s="8"/>
    </row>
    <row r="380" customFormat="false" ht="14.25" hidden="false" customHeight="false" outlineLevel="0" collapsed="false">
      <c r="A380" s="23"/>
      <c r="E380" s="8"/>
      <c r="G380" s="2"/>
      <c r="M380" s="8"/>
      <c r="Y380" s="8"/>
    </row>
    <row r="381" customFormat="false" ht="14.25" hidden="false" customHeight="false" outlineLevel="0" collapsed="false">
      <c r="A381" s="23"/>
      <c r="E381" s="8"/>
      <c r="G381" s="2"/>
      <c r="M381" s="8"/>
      <c r="Y381" s="8"/>
    </row>
    <row r="382" customFormat="false" ht="14.25" hidden="false" customHeight="false" outlineLevel="0" collapsed="false">
      <c r="A382" s="23"/>
      <c r="E382" s="8"/>
      <c r="G382" s="2"/>
      <c r="M382" s="8"/>
      <c r="Y382" s="8"/>
    </row>
    <row r="383" customFormat="false" ht="14.25" hidden="false" customHeight="false" outlineLevel="0" collapsed="false">
      <c r="A383" s="23"/>
      <c r="E383" s="8"/>
      <c r="G383" s="2"/>
      <c r="M383" s="8"/>
      <c r="Y383" s="8"/>
    </row>
    <row r="384" customFormat="false" ht="14.25" hidden="false" customHeight="false" outlineLevel="0" collapsed="false">
      <c r="A384" s="23"/>
      <c r="E384" s="8"/>
      <c r="G384" s="2"/>
      <c r="M384" s="8"/>
      <c r="Y384" s="8"/>
    </row>
    <row r="385" customFormat="false" ht="14.25" hidden="false" customHeight="false" outlineLevel="0" collapsed="false">
      <c r="A385" s="23"/>
      <c r="E385" s="8"/>
      <c r="G385" s="2"/>
      <c r="M385" s="8"/>
      <c r="Y385" s="8"/>
    </row>
    <row r="386" customFormat="false" ht="14.25" hidden="false" customHeight="false" outlineLevel="0" collapsed="false">
      <c r="A386" s="23"/>
      <c r="E386" s="8"/>
      <c r="G386" s="2"/>
      <c r="M386" s="8"/>
      <c r="Y386" s="8"/>
    </row>
    <row r="387" customFormat="false" ht="14.25" hidden="false" customHeight="false" outlineLevel="0" collapsed="false">
      <c r="A387" s="23"/>
      <c r="E387" s="8"/>
      <c r="G387" s="2"/>
      <c r="M387" s="8"/>
      <c r="Y387" s="8"/>
    </row>
    <row r="388" customFormat="false" ht="14.25" hidden="false" customHeight="false" outlineLevel="0" collapsed="false">
      <c r="A388" s="23"/>
      <c r="E388" s="8"/>
      <c r="G388" s="2"/>
      <c r="M388" s="8"/>
      <c r="Y388" s="8"/>
    </row>
    <row r="389" customFormat="false" ht="13.5" hidden="false" customHeight="false" outlineLevel="0" collapsed="false">
      <c r="A389" s="2"/>
      <c r="E389" s="8"/>
      <c r="G389" s="2"/>
      <c r="M389" s="8"/>
      <c r="Y389" s="8"/>
    </row>
    <row r="390" customFormat="false" ht="13.5" hidden="false" customHeight="false" outlineLevel="0" collapsed="false">
      <c r="A390" s="2"/>
      <c r="E390" s="8"/>
      <c r="G390" s="2"/>
      <c r="M390" s="8"/>
      <c r="Y390" s="8"/>
    </row>
    <row r="391" customFormat="false" ht="13.5" hidden="false" customHeight="false" outlineLevel="0" collapsed="false">
      <c r="A391" s="2"/>
      <c r="E391" s="8"/>
      <c r="G391" s="2"/>
      <c r="Y391" s="8"/>
    </row>
    <row r="392" customFormat="false" ht="13.5" hidden="false" customHeight="false" outlineLevel="0" collapsed="false">
      <c r="A392" s="2"/>
      <c r="E392" s="8"/>
      <c r="G392" s="2"/>
      <c r="Y392" s="8"/>
    </row>
    <row r="393" customFormat="false" ht="13.5" hidden="false" customHeight="false" outlineLevel="0" collapsed="false">
      <c r="A393" s="2"/>
      <c r="E393" s="8"/>
      <c r="G393" s="2"/>
      <c r="Y393" s="8"/>
    </row>
    <row r="394" customFormat="false" ht="13.5" hidden="false" customHeight="false" outlineLevel="0" collapsed="false">
      <c r="A394" s="2"/>
      <c r="E394" s="8"/>
      <c r="G394" s="2"/>
      <c r="Y394" s="8"/>
    </row>
    <row r="395" customFormat="false" ht="13.5" hidden="false" customHeight="false" outlineLevel="0" collapsed="false">
      <c r="A395" s="2"/>
      <c r="E395" s="8"/>
      <c r="G395" s="2"/>
      <c r="Y395" s="8"/>
    </row>
    <row r="396" customFormat="false" ht="13.5" hidden="false" customHeight="false" outlineLevel="0" collapsed="false">
      <c r="A396" s="2"/>
      <c r="E396" s="8"/>
      <c r="G396" s="2"/>
      <c r="Y396" s="8"/>
    </row>
    <row r="397" customFormat="false" ht="13.5" hidden="false" customHeight="false" outlineLevel="0" collapsed="false">
      <c r="A397" s="2"/>
      <c r="E397" s="8"/>
      <c r="G397" s="2"/>
      <c r="Y397" s="8"/>
    </row>
    <row r="398" customFormat="false" ht="13.5" hidden="false" customHeight="false" outlineLevel="0" collapsed="false">
      <c r="A398" s="2"/>
      <c r="E398" s="8"/>
      <c r="G398" s="2"/>
      <c r="Y398" s="8"/>
    </row>
    <row r="399" customFormat="false" ht="13.5" hidden="false" customHeight="false" outlineLevel="0" collapsed="false">
      <c r="A399" s="2"/>
      <c r="E399" s="8"/>
      <c r="G399" s="2"/>
      <c r="Y399" s="8"/>
    </row>
    <row r="400" customFormat="false" ht="13.5" hidden="false" customHeight="false" outlineLevel="0" collapsed="false">
      <c r="A400" s="2"/>
      <c r="E400" s="8"/>
      <c r="G400" s="2"/>
      <c r="Y400" s="8"/>
    </row>
    <row r="401" customFormat="false" ht="13.5" hidden="false" customHeight="false" outlineLevel="0" collapsed="false">
      <c r="A401" s="2"/>
      <c r="E401" s="8"/>
      <c r="G401" s="2"/>
      <c r="Y401" s="8"/>
    </row>
    <row r="402" customFormat="false" ht="13.5" hidden="false" customHeight="false" outlineLevel="0" collapsed="false">
      <c r="A402" s="2"/>
      <c r="E402" s="8"/>
      <c r="G402" s="2"/>
      <c r="Y402" s="8"/>
    </row>
    <row r="403" customFormat="false" ht="13.5" hidden="false" customHeight="false" outlineLevel="0" collapsed="false">
      <c r="A403" s="2"/>
      <c r="E403" s="8"/>
      <c r="G403" s="2"/>
      <c r="Y403" s="8"/>
    </row>
    <row r="404" customFormat="false" ht="13.5" hidden="false" customHeight="false" outlineLevel="0" collapsed="false">
      <c r="A404" s="2"/>
      <c r="E404" s="8"/>
      <c r="G404" s="2"/>
      <c r="Y404" s="8"/>
    </row>
    <row r="405" customFormat="false" ht="13.5" hidden="false" customHeight="false" outlineLevel="0" collapsed="false">
      <c r="A405" s="2"/>
      <c r="E405" s="8"/>
      <c r="G405" s="2"/>
      <c r="Y405" s="8"/>
    </row>
    <row r="406" customFormat="false" ht="13.5" hidden="false" customHeight="false" outlineLevel="0" collapsed="false">
      <c r="A406" s="2"/>
      <c r="E406" s="8"/>
      <c r="G406" s="2"/>
      <c r="Y406" s="8"/>
    </row>
    <row r="407" customFormat="false" ht="13.5" hidden="false" customHeight="false" outlineLevel="0" collapsed="false">
      <c r="A407" s="2"/>
      <c r="E407" s="8"/>
      <c r="G407" s="2"/>
      <c r="Y407" s="8"/>
    </row>
    <row r="408" customFormat="false" ht="13.5" hidden="false" customHeight="false" outlineLevel="0" collapsed="false">
      <c r="A408" s="2"/>
      <c r="E408" s="8"/>
      <c r="G408" s="2"/>
      <c r="Y408" s="8"/>
    </row>
    <row r="409" customFormat="false" ht="13.5" hidden="false" customHeight="false" outlineLevel="0" collapsed="false">
      <c r="A409" s="2"/>
      <c r="E409" s="8"/>
      <c r="G409" s="2"/>
      <c r="Y409" s="8"/>
    </row>
    <row r="410" customFormat="false" ht="13.5" hidden="false" customHeight="false" outlineLevel="0" collapsed="false">
      <c r="A410" s="2"/>
      <c r="E410" s="8"/>
      <c r="G410" s="2"/>
      <c r="Y410" s="8"/>
    </row>
    <row r="411" customFormat="false" ht="13.5" hidden="false" customHeight="false" outlineLevel="0" collapsed="false">
      <c r="A411" s="2"/>
      <c r="E411" s="8"/>
      <c r="G411" s="2"/>
      <c r="Y411" s="8"/>
    </row>
    <row r="412" customFormat="false" ht="13.5" hidden="false" customHeight="false" outlineLevel="0" collapsed="false">
      <c r="A412" s="2"/>
      <c r="E412" s="8"/>
      <c r="G412" s="2"/>
      <c r="Y412" s="8"/>
    </row>
    <row r="413" customFormat="false" ht="13.5" hidden="false" customHeight="false" outlineLevel="0" collapsed="false">
      <c r="A413" s="2"/>
      <c r="E413" s="8"/>
      <c r="G413" s="2"/>
      <c r="Y413" s="8"/>
    </row>
    <row r="414" customFormat="false" ht="13.5" hidden="false" customHeight="false" outlineLevel="0" collapsed="false">
      <c r="A414" s="2"/>
      <c r="E414" s="8"/>
      <c r="G414" s="2"/>
      <c r="Y414" s="8"/>
    </row>
    <row r="415" customFormat="false" ht="13.5" hidden="false" customHeight="false" outlineLevel="0" collapsed="false">
      <c r="A415" s="2"/>
      <c r="E415" s="8"/>
      <c r="G415" s="2"/>
      <c r="Y415" s="8"/>
    </row>
    <row r="416" customFormat="false" ht="13.5" hidden="false" customHeight="false" outlineLevel="0" collapsed="false">
      <c r="A416" s="2"/>
      <c r="E416" s="8"/>
      <c r="G416" s="2"/>
      <c r="Y416" s="8"/>
    </row>
    <row r="417" customFormat="false" ht="13.5" hidden="false" customHeight="false" outlineLevel="0" collapsed="false">
      <c r="A417" s="2"/>
      <c r="E417" s="8"/>
      <c r="G417" s="2"/>
      <c r="Y417" s="8"/>
    </row>
    <row r="418" customFormat="false" ht="13.5" hidden="false" customHeight="false" outlineLevel="0" collapsed="false">
      <c r="A418" s="2"/>
      <c r="E418" s="8"/>
      <c r="G418" s="2"/>
      <c r="Y418" s="8"/>
    </row>
    <row r="419" customFormat="false" ht="13.5" hidden="false" customHeight="false" outlineLevel="0" collapsed="false">
      <c r="A419" s="2"/>
      <c r="E419" s="8"/>
      <c r="G419" s="2"/>
      <c r="Y419" s="8"/>
    </row>
    <row r="420" customFormat="false" ht="13.5" hidden="false" customHeight="false" outlineLevel="0" collapsed="false">
      <c r="A420" s="2"/>
      <c r="E420" s="8"/>
      <c r="G420" s="2"/>
      <c r="Y420" s="8"/>
    </row>
    <row r="421" customFormat="false" ht="13.5" hidden="false" customHeight="false" outlineLevel="0" collapsed="false">
      <c r="A421" s="2"/>
      <c r="E421" s="8"/>
      <c r="G421" s="2"/>
      <c r="Y421" s="8"/>
    </row>
    <row r="422" customFormat="false" ht="13.5" hidden="false" customHeight="false" outlineLevel="0" collapsed="false">
      <c r="A422" s="2"/>
      <c r="E422" s="8"/>
      <c r="G422" s="2"/>
      <c r="Y422" s="8"/>
    </row>
    <row r="423" customFormat="false" ht="13.5" hidden="false" customHeight="false" outlineLevel="0" collapsed="false">
      <c r="A423" s="2"/>
      <c r="E423" s="8"/>
      <c r="G423" s="2"/>
      <c r="Y423" s="8"/>
    </row>
    <row r="424" customFormat="false" ht="13.5" hidden="false" customHeight="false" outlineLevel="0" collapsed="false">
      <c r="A424" s="2"/>
      <c r="E424" s="8"/>
      <c r="G424" s="2"/>
      <c r="Y424" s="8"/>
    </row>
    <row r="425" customFormat="false" ht="13.5" hidden="false" customHeight="false" outlineLevel="0" collapsed="false">
      <c r="A425" s="2"/>
      <c r="E425" s="8"/>
      <c r="G425" s="2"/>
      <c r="Y425" s="8"/>
    </row>
    <row r="426" customFormat="false" ht="13.5" hidden="false" customHeight="false" outlineLevel="0" collapsed="false">
      <c r="A426" s="2"/>
      <c r="E426" s="8"/>
      <c r="G426" s="2"/>
      <c r="Y426" s="8"/>
    </row>
    <row r="427" customFormat="false" ht="13.5" hidden="false" customHeight="false" outlineLevel="0" collapsed="false">
      <c r="A427" s="2"/>
      <c r="E427" s="8"/>
      <c r="G427" s="2"/>
      <c r="Y427" s="8"/>
    </row>
    <row r="428" customFormat="false" ht="13.5" hidden="false" customHeight="false" outlineLevel="0" collapsed="false">
      <c r="A428" s="2"/>
      <c r="E428" s="8"/>
      <c r="G428" s="2"/>
      <c r="Y428" s="8"/>
    </row>
    <row r="429" customFormat="false" ht="13.5" hidden="false" customHeight="false" outlineLevel="0" collapsed="false">
      <c r="A429" s="2"/>
      <c r="E429" s="8"/>
      <c r="G429" s="2"/>
      <c r="Y429" s="8"/>
    </row>
    <row r="430" customFormat="false" ht="13.5" hidden="false" customHeight="false" outlineLevel="0" collapsed="false">
      <c r="A430" s="2"/>
      <c r="E430" s="8"/>
      <c r="G430" s="2"/>
      <c r="Y430" s="8"/>
    </row>
    <row r="431" customFormat="false" ht="13.5" hidden="false" customHeight="false" outlineLevel="0" collapsed="false">
      <c r="A431" s="2"/>
      <c r="E431" s="8"/>
      <c r="G431" s="2"/>
      <c r="Y431" s="8"/>
    </row>
    <row r="432" customFormat="false" ht="12.75" hidden="false" customHeight="false" outlineLevel="0" collapsed="false">
      <c r="A432" s="2"/>
      <c r="G432" s="2"/>
    </row>
    <row r="433" customFormat="false" ht="12.75" hidden="false" customHeight="false" outlineLevel="0" collapsed="false">
      <c r="A433" s="2"/>
      <c r="G433" s="2"/>
    </row>
    <row r="434" customFormat="false" ht="12.75" hidden="false" customHeight="false" outlineLevel="0" collapsed="false">
      <c r="A434" s="2"/>
      <c r="G434" s="2"/>
    </row>
    <row r="435" customFormat="false" ht="12.75" hidden="false" customHeight="false" outlineLevel="0" collapsed="false">
      <c r="A435" s="2"/>
      <c r="G435" s="2"/>
    </row>
    <row r="436" customFormat="false" ht="12.75" hidden="false" customHeight="false" outlineLevel="0" collapsed="false">
      <c r="A436" s="2"/>
      <c r="G436" s="2"/>
    </row>
    <row r="437" customFormat="false" ht="12.75" hidden="false" customHeight="false" outlineLevel="0" collapsed="false">
      <c r="A437" s="2"/>
      <c r="G437" s="2"/>
    </row>
    <row r="438" customFormat="false" ht="12.75" hidden="false" customHeight="false" outlineLevel="0" collapsed="false">
      <c r="A438" s="2"/>
      <c r="G438" s="2"/>
    </row>
    <row r="439" customFormat="false" ht="12.75" hidden="false" customHeight="false" outlineLevel="0" collapsed="false">
      <c r="A439" s="2"/>
      <c r="G439" s="2"/>
    </row>
    <row r="440" customFormat="false" ht="12.75" hidden="false" customHeight="false" outlineLevel="0" collapsed="false">
      <c r="A440" s="2"/>
      <c r="G440" s="2"/>
    </row>
    <row r="441" customFormat="false" ht="12.75" hidden="false" customHeight="false" outlineLevel="0" collapsed="false">
      <c r="A441" s="2"/>
      <c r="G441" s="2"/>
    </row>
    <row r="442" customFormat="false" ht="12.75" hidden="false" customHeight="false" outlineLevel="0" collapsed="false">
      <c r="A442" s="2"/>
      <c r="G442" s="2"/>
    </row>
    <row r="443" customFormat="false" ht="12.75" hidden="false" customHeight="false" outlineLevel="0" collapsed="false">
      <c r="A443" s="2"/>
      <c r="G443" s="2"/>
    </row>
    <row r="444" customFormat="false" ht="12.75" hidden="false" customHeight="false" outlineLevel="0" collapsed="false">
      <c r="A444" s="2"/>
      <c r="G444" s="2"/>
    </row>
    <row r="445" customFormat="false" ht="12.75" hidden="false" customHeight="false" outlineLevel="0" collapsed="false">
      <c r="A445" s="2"/>
      <c r="G445" s="2"/>
    </row>
    <row r="446" customFormat="false" ht="12.75" hidden="false" customHeight="false" outlineLevel="0" collapsed="false">
      <c r="A446" s="2"/>
      <c r="G446" s="2"/>
    </row>
    <row r="447" customFormat="false" ht="12.75" hidden="false" customHeight="false" outlineLevel="0" collapsed="false">
      <c r="A447" s="2"/>
      <c r="G447" s="2"/>
    </row>
    <row r="448" customFormat="false" ht="12.75" hidden="false" customHeight="false" outlineLevel="0" collapsed="false">
      <c r="A448" s="2"/>
      <c r="G448" s="2"/>
    </row>
    <row r="449" customFormat="false" ht="12.75" hidden="false" customHeight="false" outlineLevel="0" collapsed="false">
      <c r="A449" s="2"/>
      <c r="G449" s="2"/>
    </row>
    <row r="450" customFormat="false" ht="12.75" hidden="false" customHeight="false" outlineLevel="0" collapsed="false">
      <c r="A450" s="2"/>
      <c r="G450" s="2"/>
    </row>
    <row r="451" customFormat="false" ht="12.75" hidden="false" customHeight="false" outlineLevel="0" collapsed="false">
      <c r="A451" s="2"/>
      <c r="G451" s="2"/>
    </row>
    <row r="452" customFormat="false" ht="12.75" hidden="false" customHeight="false" outlineLevel="0" collapsed="false">
      <c r="A452" s="2"/>
      <c r="G452" s="2"/>
    </row>
    <row r="453" customFormat="false" ht="12.75" hidden="false" customHeight="false" outlineLevel="0" collapsed="false">
      <c r="A453" s="2"/>
      <c r="G453" s="2"/>
    </row>
    <row r="454" customFormat="false" ht="12.75" hidden="false" customHeight="false" outlineLevel="0" collapsed="false">
      <c r="A454" s="2"/>
      <c r="G454" s="2"/>
    </row>
    <row r="455" customFormat="false" ht="12.75" hidden="false" customHeight="false" outlineLevel="0" collapsed="false">
      <c r="A455" s="2"/>
      <c r="G455" s="2"/>
    </row>
    <row r="456" customFormat="false" ht="12.75" hidden="false" customHeight="false" outlineLevel="0" collapsed="false">
      <c r="A456" s="2"/>
      <c r="G456" s="2"/>
    </row>
    <row r="457" customFormat="false" ht="12.75" hidden="false" customHeight="false" outlineLevel="0" collapsed="false">
      <c r="A457" s="2"/>
      <c r="G457" s="2"/>
    </row>
    <row r="458" customFormat="false" ht="12.75" hidden="false" customHeight="false" outlineLevel="0" collapsed="false">
      <c r="A458" s="2"/>
      <c r="G458" s="2"/>
    </row>
    <row r="459" customFormat="false" ht="12.75" hidden="false" customHeight="false" outlineLevel="0" collapsed="false">
      <c r="A459" s="2"/>
      <c r="G459" s="2"/>
    </row>
    <row r="460" customFormat="false" ht="12.75" hidden="false" customHeight="false" outlineLevel="0" collapsed="false">
      <c r="A460" s="2"/>
      <c r="G460" s="2"/>
    </row>
    <row r="461" customFormat="false" ht="12.75" hidden="false" customHeight="false" outlineLevel="0" collapsed="false">
      <c r="A461" s="2"/>
      <c r="G461" s="2"/>
    </row>
    <row r="462" customFormat="false" ht="12.75" hidden="false" customHeight="false" outlineLevel="0" collapsed="false">
      <c r="A462" s="2"/>
      <c r="G462" s="2"/>
    </row>
    <row r="463" customFormat="false" ht="12.75" hidden="false" customHeight="false" outlineLevel="0" collapsed="false">
      <c r="A463" s="2"/>
      <c r="G463" s="2"/>
    </row>
    <row r="464" customFormat="false" ht="12.75" hidden="false" customHeight="false" outlineLevel="0" collapsed="false">
      <c r="A464" s="2"/>
      <c r="G464" s="2"/>
    </row>
    <row r="465" customFormat="false" ht="12.75" hidden="false" customHeight="false" outlineLevel="0" collapsed="false">
      <c r="A465" s="2"/>
      <c r="G465" s="2"/>
    </row>
    <row r="466" customFormat="false" ht="12.75" hidden="false" customHeight="false" outlineLevel="0" collapsed="false">
      <c r="A466" s="2"/>
      <c r="G466" s="2"/>
    </row>
    <row r="467" customFormat="false" ht="12.75" hidden="false" customHeight="false" outlineLevel="0" collapsed="false">
      <c r="A467" s="2"/>
      <c r="G467" s="2"/>
    </row>
    <row r="468" customFormat="false" ht="12.75" hidden="false" customHeight="false" outlineLevel="0" collapsed="false">
      <c r="A468" s="2"/>
      <c r="G468" s="2"/>
    </row>
    <row r="469" customFormat="false" ht="12.75" hidden="false" customHeight="false" outlineLevel="0" collapsed="false">
      <c r="A469" s="2"/>
      <c r="G469" s="2"/>
    </row>
    <row r="470" customFormat="false" ht="12.75" hidden="false" customHeight="false" outlineLevel="0" collapsed="false">
      <c r="A470" s="2"/>
      <c r="G470" s="2"/>
    </row>
    <row r="471" customFormat="false" ht="12.75" hidden="false" customHeight="false" outlineLevel="0" collapsed="false">
      <c r="A471" s="2"/>
      <c r="G471" s="2"/>
    </row>
    <row r="472" customFormat="false" ht="12.75" hidden="false" customHeight="false" outlineLevel="0" collapsed="false">
      <c r="A472" s="2"/>
      <c r="G472" s="2"/>
    </row>
    <row r="473" customFormat="false" ht="12.75" hidden="false" customHeight="false" outlineLevel="0" collapsed="false">
      <c r="A473" s="2"/>
      <c r="G473" s="2"/>
    </row>
    <row r="474" customFormat="false" ht="12.75" hidden="false" customHeight="false" outlineLevel="0" collapsed="false">
      <c r="A474" s="2"/>
      <c r="G474" s="2"/>
    </row>
    <row r="475" customFormat="false" ht="12.75" hidden="false" customHeight="false" outlineLevel="0" collapsed="false">
      <c r="A475" s="2"/>
      <c r="G475" s="2"/>
    </row>
    <row r="476" customFormat="false" ht="12.75" hidden="false" customHeight="false" outlineLevel="0" collapsed="false">
      <c r="A476" s="2"/>
      <c r="G476" s="2"/>
    </row>
    <row r="477" customFormat="false" ht="12.75" hidden="false" customHeight="false" outlineLevel="0" collapsed="false">
      <c r="A477" s="2"/>
      <c r="G477" s="2"/>
    </row>
    <row r="478" customFormat="false" ht="12.75" hidden="false" customHeight="false" outlineLevel="0" collapsed="false">
      <c r="A478" s="2"/>
      <c r="G478" s="2"/>
    </row>
    <row r="479" customFormat="false" ht="12.75" hidden="false" customHeight="false" outlineLevel="0" collapsed="false">
      <c r="A479" s="2"/>
      <c r="G479" s="2"/>
    </row>
    <row r="480" customFormat="false" ht="12.75" hidden="false" customHeight="false" outlineLevel="0" collapsed="false">
      <c r="A480" s="2"/>
      <c r="G480" s="2"/>
    </row>
    <row r="481" customFormat="false" ht="12.75" hidden="false" customHeight="false" outlineLevel="0" collapsed="false">
      <c r="A481" s="2"/>
      <c r="G481" s="2"/>
    </row>
    <row r="482" customFormat="false" ht="12.75" hidden="false" customHeight="false" outlineLevel="0" collapsed="false">
      <c r="A482" s="2"/>
      <c r="G482" s="2"/>
    </row>
    <row r="483" customFormat="false" ht="12.75" hidden="false" customHeight="false" outlineLevel="0" collapsed="false">
      <c r="A483" s="2"/>
      <c r="G483" s="2"/>
    </row>
    <row r="484" customFormat="false" ht="12.75" hidden="false" customHeight="false" outlineLevel="0" collapsed="false">
      <c r="A484" s="2"/>
      <c r="G484" s="2"/>
    </row>
    <row r="485" customFormat="false" ht="12.75" hidden="false" customHeight="false" outlineLevel="0" collapsed="false">
      <c r="A485" s="2"/>
      <c r="G485" s="2"/>
    </row>
    <row r="486" customFormat="false" ht="12.75" hidden="false" customHeight="false" outlineLevel="0" collapsed="false">
      <c r="A486" s="2"/>
      <c r="G486" s="2"/>
    </row>
    <row r="487" customFormat="false" ht="12.75" hidden="false" customHeight="false" outlineLevel="0" collapsed="false">
      <c r="A487" s="2"/>
      <c r="G487" s="2"/>
    </row>
    <row r="488" customFormat="false" ht="12.75" hidden="false" customHeight="false" outlineLevel="0" collapsed="false">
      <c r="A488" s="2"/>
      <c r="G488" s="2"/>
    </row>
    <row r="489" customFormat="false" ht="12.75" hidden="false" customHeight="false" outlineLevel="0" collapsed="false">
      <c r="A489" s="2"/>
      <c r="G489" s="2"/>
    </row>
    <row r="490" customFormat="false" ht="12.75" hidden="false" customHeight="false" outlineLevel="0" collapsed="false">
      <c r="A490" s="2"/>
      <c r="G490" s="2"/>
    </row>
    <row r="491" customFormat="false" ht="12.75" hidden="false" customHeight="false" outlineLevel="0" collapsed="false">
      <c r="A491" s="2"/>
      <c r="G491" s="2"/>
    </row>
    <row r="492" customFormat="false" ht="12.75" hidden="false" customHeight="false" outlineLevel="0" collapsed="false">
      <c r="A492" s="2"/>
      <c r="G492" s="2"/>
    </row>
    <row r="493" customFormat="false" ht="12.75" hidden="false" customHeight="false" outlineLevel="0" collapsed="false">
      <c r="A493" s="2"/>
      <c r="G493" s="2"/>
    </row>
    <row r="494" customFormat="false" ht="12.75" hidden="false" customHeight="false" outlineLevel="0" collapsed="false">
      <c r="A494" s="2"/>
      <c r="G494" s="2"/>
    </row>
    <row r="495" customFormat="false" ht="12.75" hidden="false" customHeight="false" outlineLevel="0" collapsed="false">
      <c r="A495" s="2"/>
      <c r="G495" s="2"/>
    </row>
    <row r="496" customFormat="false" ht="12.75" hidden="false" customHeight="false" outlineLevel="0" collapsed="false">
      <c r="A496" s="2"/>
      <c r="G496" s="2"/>
    </row>
    <row r="497" customFormat="false" ht="12.75" hidden="false" customHeight="false" outlineLevel="0" collapsed="false">
      <c r="A497" s="2"/>
      <c r="G497" s="2"/>
    </row>
    <row r="498" customFormat="false" ht="12.75" hidden="false" customHeight="false" outlineLevel="0" collapsed="false">
      <c r="A498" s="2"/>
      <c r="G498" s="2"/>
    </row>
    <row r="499" customFormat="false" ht="12.75" hidden="false" customHeight="false" outlineLevel="0" collapsed="false">
      <c r="A499" s="2"/>
      <c r="G499" s="2"/>
    </row>
    <row r="500" customFormat="false" ht="12.75" hidden="false" customHeight="false" outlineLevel="0" collapsed="false">
      <c r="A500" s="2"/>
      <c r="G500" s="2"/>
    </row>
    <row r="501" customFormat="false" ht="12.75" hidden="false" customHeight="false" outlineLevel="0" collapsed="false">
      <c r="A501" s="2"/>
      <c r="G501" s="2"/>
    </row>
    <row r="502" customFormat="false" ht="12.75" hidden="false" customHeight="false" outlineLevel="0" collapsed="false">
      <c r="A502" s="2"/>
      <c r="G502" s="2"/>
    </row>
    <row r="503" customFormat="false" ht="12.75" hidden="false" customHeight="false" outlineLevel="0" collapsed="false">
      <c r="A503" s="2"/>
      <c r="G503" s="2"/>
    </row>
    <row r="504" customFormat="false" ht="12.75" hidden="false" customHeight="false" outlineLevel="0" collapsed="false">
      <c r="A504" s="2"/>
      <c r="G504" s="2"/>
    </row>
    <row r="505" customFormat="false" ht="12.75" hidden="false" customHeight="false" outlineLevel="0" collapsed="false">
      <c r="A505" s="2"/>
      <c r="G505" s="2"/>
    </row>
    <row r="506" customFormat="false" ht="12.75" hidden="false" customHeight="false" outlineLevel="0" collapsed="false">
      <c r="A506" s="2"/>
      <c r="G506" s="2"/>
    </row>
    <row r="507" customFormat="false" ht="12.75" hidden="false" customHeight="false" outlineLevel="0" collapsed="false">
      <c r="A507" s="2"/>
      <c r="G507" s="2"/>
    </row>
    <row r="508" customFormat="false" ht="12.75" hidden="false" customHeight="false" outlineLevel="0" collapsed="false">
      <c r="A508" s="2"/>
      <c r="G508" s="2"/>
    </row>
    <row r="509" customFormat="false" ht="12.75" hidden="false" customHeight="false" outlineLevel="0" collapsed="false">
      <c r="A509" s="2"/>
      <c r="G509" s="2"/>
    </row>
    <row r="510" customFormat="false" ht="12.75" hidden="false" customHeight="false" outlineLevel="0" collapsed="false">
      <c r="A510" s="2"/>
      <c r="G510" s="2"/>
    </row>
    <row r="511" customFormat="false" ht="12.75" hidden="false" customHeight="false" outlineLevel="0" collapsed="false">
      <c r="A511" s="2"/>
      <c r="G511" s="2"/>
    </row>
    <row r="512" customFormat="false" ht="12.75" hidden="false" customHeight="false" outlineLevel="0" collapsed="false">
      <c r="A512" s="2"/>
      <c r="G512" s="2"/>
    </row>
    <row r="513" customFormat="false" ht="12.75" hidden="false" customHeight="false" outlineLevel="0" collapsed="false">
      <c r="A513" s="2"/>
      <c r="G513" s="2"/>
    </row>
    <row r="514" customFormat="false" ht="12.75" hidden="false" customHeight="false" outlineLevel="0" collapsed="false">
      <c r="A514" s="2"/>
      <c r="G514" s="2"/>
    </row>
    <row r="515" customFormat="false" ht="12.75" hidden="false" customHeight="false" outlineLevel="0" collapsed="false">
      <c r="A515" s="2"/>
      <c r="G515" s="2"/>
    </row>
    <row r="516" customFormat="false" ht="12.75" hidden="false" customHeight="false" outlineLevel="0" collapsed="false">
      <c r="A516" s="2"/>
      <c r="G516" s="2"/>
    </row>
    <row r="517" customFormat="false" ht="12.75" hidden="false" customHeight="false" outlineLevel="0" collapsed="false">
      <c r="A517" s="2"/>
      <c r="G517" s="2"/>
    </row>
    <row r="518" customFormat="false" ht="12.75" hidden="false" customHeight="false" outlineLevel="0" collapsed="false">
      <c r="A518" s="2"/>
      <c r="G518" s="2"/>
    </row>
    <row r="519" customFormat="false" ht="12.75" hidden="false" customHeight="false" outlineLevel="0" collapsed="false">
      <c r="A519" s="2"/>
      <c r="G519" s="2"/>
    </row>
    <row r="520" customFormat="false" ht="12.75" hidden="false" customHeight="false" outlineLevel="0" collapsed="false">
      <c r="A520" s="2"/>
      <c r="G520" s="2"/>
    </row>
    <row r="521" customFormat="false" ht="12.75" hidden="false" customHeight="false" outlineLevel="0" collapsed="false">
      <c r="A521" s="2"/>
      <c r="G521" s="2"/>
    </row>
    <row r="522" customFormat="false" ht="12.75" hidden="false" customHeight="false" outlineLevel="0" collapsed="false">
      <c r="A522" s="2"/>
      <c r="G522" s="2"/>
    </row>
    <row r="523" customFormat="false" ht="12.75" hidden="false" customHeight="false" outlineLevel="0" collapsed="false">
      <c r="A523" s="2"/>
      <c r="G523" s="2"/>
    </row>
    <row r="524" customFormat="false" ht="12.75" hidden="false" customHeight="false" outlineLevel="0" collapsed="false">
      <c r="A524" s="2"/>
      <c r="G524" s="2"/>
    </row>
    <row r="525" customFormat="false" ht="12.75" hidden="false" customHeight="false" outlineLevel="0" collapsed="false">
      <c r="A525" s="2"/>
      <c r="G525" s="2"/>
    </row>
    <row r="526" customFormat="false" ht="12.75" hidden="false" customHeight="false" outlineLevel="0" collapsed="false">
      <c r="A526" s="2"/>
      <c r="G526" s="2"/>
    </row>
    <row r="527" customFormat="false" ht="12.75" hidden="false" customHeight="false" outlineLevel="0" collapsed="false">
      <c r="A527" s="2"/>
      <c r="G527" s="2"/>
    </row>
    <row r="528" customFormat="false" ht="12.75" hidden="false" customHeight="false" outlineLevel="0" collapsed="false">
      <c r="A528" s="2"/>
      <c r="G528" s="2"/>
    </row>
    <row r="529" customFormat="false" ht="12.75" hidden="false" customHeight="false" outlineLevel="0" collapsed="false">
      <c r="A529" s="2"/>
      <c r="G529" s="2"/>
    </row>
    <row r="530" customFormat="false" ht="12.75" hidden="false" customHeight="false" outlineLevel="0" collapsed="false">
      <c r="A530" s="2"/>
      <c r="G530" s="2"/>
    </row>
    <row r="531" customFormat="false" ht="12.75" hidden="false" customHeight="false" outlineLevel="0" collapsed="false">
      <c r="A531" s="2"/>
      <c r="G531" s="2"/>
    </row>
    <row r="532" customFormat="false" ht="12.75" hidden="false" customHeight="false" outlineLevel="0" collapsed="false">
      <c r="A532" s="2"/>
      <c r="G532" s="2"/>
    </row>
    <row r="533" customFormat="false" ht="12.75" hidden="false" customHeight="false" outlineLevel="0" collapsed="false">
      <c r="A533" s="2"/>
      <c r="G533" s="2"/>
    </row>
    <row r="534" customFormat="false" ht="12.75" hidden="false" customHeight="false" outlineLevel="0" collapsed="false">
      <c r="A534" s="2"/>
      <c r="G534" s="2"/>
    </row>
    <row r="535" customFormat="false" ht="12.75" hidden="false" customHeight="false" outlineLevel="0" collapsed="false">
      <c r="A535" s="2"/>
      <c r="G535" s="2"/>
    </row>
    <row r="536" customFormat="false" ht="12.75" hidden="false" customHeight="false" outlineLevel="0" collapsed="false">
      <c r="A536" s="2"/>
      <c r="G536" s="2"/>
    </row>
    <row r="537" customFormat="false" ht="12.75" hidden="false" customHeight="false" outlineLevel="0" collapsed="false">
      <c r="A537" s="2"/>
      <c r="G537" s="2"/>
    </row>
    <row r="538" customFormat="false" ht="12.75" hidden="false" customHeight="false" outlineLevel="0" collapsed="false">
      <c r="A538" s="2"/>
      <c r="G538" s="2"/>
    </row>
    <row r="539" customFormat="false" ht="12.75" hidden="false" customHeight="false" outlineLevel="0" collapsed="false">
      <c r="A539" s="2"/>
      <c r="G539" s="2"/>
    </row>
    <row r="540" customFormat="false" ht="12.75" hidden="false" customHeight="false" outlineLevel="0" collapsed="false">
      <c r="A540" s="2"/>
      <c r="G540" s="2"/>
    </row>
    <row r="541" customFormat="false" ht="12.75" hidden="false" customHeight="false" outlineLevel="0" collapsed="false">
      <c r="A541" s="2"/>
      <c r="G541" s="2"/>
    </row>
    <row r="542" customFormat="false" ht="12.75" hidden="false" customHeight="false" outlineLevel="0" collapsed="false">
      <c r="A542" s="2"/>
      <c r="G542" s="2"/>
    </row>
    <row r="543" customFormat="false" ht="12.75" hidden="false" customHeight="false" outlineLevel="0" collapsed="false">
      <c r="A543" s="2"/>
      <c r="G543" s="2"/>
    </row>
    <row r="544" customFormat="false" ht="12.75" hidden="false" customHeight="false" outlineLevel="0" collapsed="false">
      <c r="A544" s="2"/>
      <c r="G544" s="2"/>
    </row>
    <row r="545" customFormat="false" ht="12.75" hidden="false" customHeight="false" outlineLevel="0" collapsed="false">
      <c r="A545" s="2"/>
      <c r="G545" s="2"/>
    </row>
    <row r="546" customFormat="false" ht="12.75" hidden="false" customHeight="false" outlineLevel="0" collapsed="false">
      <c r="A546" s="2"/>
      <c r="G546" s="2"/>
    </row>
    <row r="547" customFormat="false" ht="12.75" hidden="false" customHeight="false" outlineLevel="0" collapsed="false">
      <c r="A547" s="2"/>
      <c r="G547" s="2"/>
    </row>
    <row r="548" customFormat="false" ht="12.75" hidden="false" customHeight="false" outlineLevel="0" collapsed="false">
      <c r="A548" s="2"/>
      <c r="G548" s="2"/>
    </row>
    <row r="549" customFormat="false" ht="12.75" hidden="false" customHeight="false" outlineLevel="0" collapsed="false">
      <c r="A549" s="2"/>
      <c r="G549" s="2"/>
    </row>
    <row r="550" customFormat="false" ht="12.75" hidden="false" customHeight="false" outlineLevel="0" collapsed="false">
      <c r="A550" s="2"/>
      <c r="G550" s="2"/>
    </row>
    <row r="551" customFormat="false" ht="12.75" hidden="false" customHeight="false" outlineLevel="0" collapsed="false">
      <c r="A551" s="2"/>
      <c r="G551" s="2"/>
    </row>
    <row r="552" customFormat="false" ht="12.75" hidden="false" customHeight="false" outlineLevel="0" collapsed="false">
      <c r="A552" s="2"/>
      <c r="G552" s="2"/>
    </row>
    <row r="553" customFormat="false" ht="12.75" hidden="false" customHeight="false" outlineLevel="0" collapsed="false">
      <c r="A553" s="2"/>
      <c r="G553" s="2"/>
    </row>
    <row r="554" customFormat="false" ht="12.75" hidden="false" customHeight="false" outlineLevel="0" collapsed="false">
      <c r="A554" s="2"/>
      <c r="G554" s="2"/>
    </row>
    <row r="555" customFormat="false" ht="12.75" hidden="false" customHeight="false" outlineLevel="0" collapsed="false">
      <c r="A555" s="2"/>
      <c r="G555" s="2"/>
    </row>
    <row r="556" customFormat="false" ht="12.75" hidden="false" customHeight="false" outlineLevel="0" collapsed="false">
      <c r="A556" s="2"/>
      <c r="G556" s="2"/>
    </row>
    <row r="557" customFormat="false" ht="12.75" hidden="false" customHeight="false" outlineLevel="0" collapsed="false">
      <c r="A557" s="2"/>
      <c r="G557" s="2"/>
    </row>
    <row r="558" customFormat="false" ht="12.75" hidden="false" customHeight="false" outlineLevel="0" collapsed="false">
      <c r="A558" s="2"/>
      <c r="G558" s="2"/>
    </row>
    <row r="559" customFormat="false" ht="12.75" hidden="false" customHeight="false" outlineLevel="0" collapsed="false">
      <c r="A559" s="2"/>
      <c r="G559" s="2"/>
    </row>
    <row r="560" customFormat="false" ht="12.75" hidden="false" customHeight="false" outlineLevel="0" collapsed="false">
      <c r="A560" s="2"/>
      <c r="G560" s="2"/>
    </row>
    <row r="561" customFormat="false" ht="12.75" hidden="false" customHeight="false" outlineLevel="0" collapsed="false">
      <c r="A561" s="2"/>
      <c r="G561" s="2"/>
    </row>
    <row r="562" customFormat="false" ht="12.75" hidden="false" customHeight="false" outlineLevel="0" collapsed="false">
      <c r="A562" s="2"/>
      <c r="G562" s="2"/>
    </row>
    <row r="563" customFormat="false" ht="12.75" hidden="false" customHeight="false" outlineLevel="0" collapsed="false">
      <c r="A563" s="2"/>
      <c r="G563" s="2"/>
    </row>
    <row r="564" customFormat="false" ht="12.75" hidden="false" customHeight="false" outlineLevel="0" collapsed="false">
      <c r="A564" s="2"/>
      <c r="G564" s="2"/>
    </row>
    <row r="565" customFormat="false" ht="12.75" hidden="false" customHeight="false" outlineLevel="0" collapsed="false">
      <c r="A565" s="2"/>
      <c r="G565" s="2"/>
    </row>
    <row r="566" customFormat="false" ht="12.75" hidden="false" customHeight="false" outlineLevel="0" collapsed="false">
      <c r="A566" s="2"/>
      <c r="G566" s="2"/>
    </row>
    <row r="567" customFormat="false" ht="12.75" hidden="false" customHeight="false" outlineLevel="0" collapsed="false">
      <c r="A567" s="2"/>
      <c r="G567" s="2"/>
    </row>
    <row r="568" customFormat="false" ht="12.75" hidden="false" customHeight="false" outlineLevel="0" collapsed="false">
      <c r="A568" s="2"/>
      <c r="G568" s="2"/>
    </row>
    <row r="569" customFormat="false" ht="12.75" hidden="false" customHeight="false" outlineLevel="0" collapsed="false">
      <c r="A569" s="2"/>
      <c r="G569" s="2"/>
    </row>
    <row r="570" customFormat="false" ht="12.75" hidden="false" customHeight="false" outlineLevel="0" collapsed="false">
      <c r="A570" s="2"/>
      <c r="G570" s="2"/>
    </row>
    <row r="571" customFormat="false" ht="12.75" hidden="false" customHeight="false" outlineLevel="0" collapsed="false">
      <c r="A571" s="2"/>
      <c r="G571" s="2"/>
    </row>
    <row r="572" customFormat="false" ht="12.75" hidden="false" customHeight="false" outlineLevel="0" collapsed="false">
      <c r="A572" s="2"/>
      <c r="G572" s="2"/>
    </row>
    <row r="573" customFormat="false" ht="12.75" hidden="false" customHeight="false" outlineLevel="0" collapsed="false">
      <c r="A573" s="2"/>
      <c r="G573" s="2"/>
    </row>
    <row r="574" customFormat="false" ht="12.75" hidden="false" customHeight="false" outlineLevel="0" collapsed="false">
      <c r="A574" s="2"/>
      <c r="G574" s="2"/>
    </row>
    <row r="575" customFormat="false" ht="12.75" hidden="false" customHeight="false" outlineLevel="0" collapsed="false">
      <c r="A575" s="2"/>
      <c r="G575" s="2"/>
    </row>
    <row r="576" customFormat="false" ht="12.75" hidden="false" customHeight="false" outlineLevel="0" collapsed="false">
      <c r="A576" s="2"/>
      <c r="G576" s="2"/>
    </row>
    <row r="577" customFormat="false" ht="12.75" hidden="false" customHeight="false" outlineLevel="0" collapsed="false">
      <c r="A577" s="2"/>
      <c r="G577" s="2"/>
    </row>
    <row r="578" customFormat="false" ht="12.75" hidden="false" customHeight="false" outlineLevel="0" collapsed="false">
      <c r="A578" s="2"/>
      <c r="G578" s="2"/>
    </row>
    <row r="579" customFormat="false" ht="12.75" hidden="false" customHeight="false" outlineLevel="0" collapsed="false">
      <c r="A579" s="2"/>
      <c r="G579" s="2"/>
    </row>
    <row r="580" customFormat="false" ht="12.75" hidden="false" customHeight="false" outlineLevel="0" collapsed="false">
      <c r="A580" s="2"/>
      <c r="G580" s="2"/>
    </row>
    <row r="581" customFormat="false" ht="12.75" hidden="false" customHeight="false" outlineLevel="0" collapsed="false">
      <c r="A581" s="2"/>
      <c r="G581" s="2"/>
    </row>
    <row r="582" customFormat="false" ht="12.75" hidden="false" customHeight="false" outlineLevel="0" collapsed="false">
      <c r="A582" s="2"/>
      <c r="G582" s="2"/>
    </row>
    <row r="583" customFormat="false" ht="12.75" hidden="false" customHeight="false" outlineLevel="0" collapsed="false">
      <c r="A583" s="2"/>
      <c r="G583" s="2"/>
    </row>
    <row r="584" customFormat="false" ht="12.75" hidden="false" customHeight="false" outlineLevel="0" collapsed="false">
      <c r="A584" s="2"/>
      <c r="G584" s="2"/>
    </row>
    <row r="585" customFormat="false" ht="12.75" hidden="false" customHeight="false" outlineLevel="0" collapsed="false">
      <c r="A585" s="2"/>
      <c r="G585" s="2"/>
    </row>
    <row r="586" customFormat="false" ht="12.75" hidden="false" customHeight="false" outlineLevel="0" collapsed="false">
      <c r="A586" s="2"/>
      <c r="G586" s="2"/>
    </row>
    <row r="587" customFormat="false" ht="12.75" hidden="false" customHeight="false" outlineLevel="0" collapsed="false">
      <c r="A587" s="2"/>
      <c r="G587" s="2"/>
    </row>
    <row r="588" customFormat="false" ht="12.75" hidden="false" customHeight="false" outlineLevel="0" collapsed="false">
      <c r="A588" s="2"/>
      <c r="G588" s="2"/>
    </row>
    <row r="589" customFormat="false" ht="12.75" hidden="false" customHeight="false" outlineLevel="0" collapsed="false">
      <c r="A589" s="2"/>
      <c r="G589" s="2"/>
    </row>
    <row r="590" customFormat="false" ht="12.75" hidden="false" customHeight="false" outlineLevel="0" collapsed="false">
      <c r="A590" s="2"/>
      <c r="G590" s="2"/>
    </row>
    <row r="591" customFormat="false" ht="12.75" hidden="false" customHeight="false" outlineLevel="0" collapsed="false">
      <c r="A591" s="2"/>
      <c r="G591" s="2"/>
    </row>
    <row r="592" customFormat="false" ht="12.75" hidden="false" customHeight="false" outlineLevel="0" collapsed="false">
      <c r="A592" s="2"/>
      <c r="G592" s="2"/>
    </row>
    <row r="593" customFormat="false" ht="12.75" hidden="false" customHeight="false" outlineLevel="0" collapsed="false">
      <c r="A593" s="2"/>
      <c r="G593" s="2"/>
    </row>
    <row r="594" customFormat="false" ht="12.75" hidden="false" customHeight="false" outlineLevel="0" collapsed="false">
      <c r="A594" s="2"/>
      <c r="G594" s="2"/>
    </row>
    <row r="595" customFormat="false" ht="12.75" hidden="false" customHeight="false" outlineLevel="0" collapsed="false">
      <c r="A595" s="2"/>
      <c r="G595" s="2"/>
    </row>
    <row r="596" customFormat="false" ht="12.75" hidden="false" customHeight="false" outlineLevel="0" collapsed="false">
      <c r="A596" s="2"/>
      <c r="G596" s="2"/>
    </row>
    <row r="597" customFormat="false" ht="12.75" hidden="false" customHeight="false" outlineLevel="0" collapsed="false">
      <c r="A597" s="2"/>
      <c r="G597" s="2"/>
    </row>
    <row r="598" customFormat="false" ht="12.75" hidden="false" customHeight="false" outlineLevel="0" collapsed="false">
      <c r="A598" s="2"/>
      <c r="G598" s="2"/>
    </row>
    <row r="599" customFormat="false" ht="12.75" hidden="false" customHeight="false" outlineLevel="0" collapsed="false">
      <c r="A599" s="2"/>
      <c r="G599" s="2"/>
    </row>
    <row r="600" customFormat="false" ht="12.75" hidden="false" customHeight="false" outlineLevel="0" collapsed="false">
      <c r="A600" s="2"/>
      <c r="G600" s="2"/>
    </row>
    <row r="601" customFormat="false" ht="12.75" hidden="false" customHeight="false" outlineLevel="0" collapsed="false">
      <c r="A601" s="2"/>
      <c r="G601" s="2"/>
    </row>
    <row r="602" customFormat="false" ht="12.75" hidden="false" customHeight="false" outlineLevel="0" collapsed="false">
      <c r="A602" s="2"/>
      <c r="G602" s="2"/>
    </row>
    <row r="603" customFormat="false" ht="12.75" hidden="false" customHeight="false" outlineLevel="0" collapsed="false">
      <c r="A603" s="2"/>
      <c r="G603" s="2"/>
    </row>
    <row r="604" customFormat="false" ht="12.75" hidden="false" customHeight="false" outlineLevel="0" collapsed="false">
      <c r="A604" s="2"/>
      <c r="G604" s="2"/>
    </row>
    <row r="605" customFormat="false" ht="12.75" hidden="false" customHeight="false" outlineLevel="0" collapsed="false">
      <c r="A605" s="2"/>
      <c r="G605" s="2"/>
    </row>
    <row r="606" customFormat="false" ht="12.75" hidden="false" customHeight="false" outlineLevel="0" collapsed="false">
      <c r="A606" s="2"/>
      <c r="G606" s="2"/>
    </row>
    <row r="607" customFormat="false" ht="12.75" hidden="false" customHeight="false" outlineLevel="0" collapsed="false">
      <c r="A607" s="2"/>
      <c r="G607" s="2"/>
    </row>
    <row r="608" customFormat="false" ht="12.75" hidden="false" customHeight="false" outlineLevel="0" collapsed="false">
      <c r="A608" s="2"/>
      <c r="G608" s="2"/>
    </row>
    <row r="609" customFormat="false" ht="12.75" hidden="false" customHeight="false" outlineLevel="0" collapsed="false">
      <c r="A609" s="2"/>
      <c r="G609" s="2"/>
    </row>
    <row r="610" customFormat="false" ht="12.75" hidden="false" customHeight="false" outlineLevel="0" collapsed="false">
      <c r="A610" s="2"/>
      <c r="G610" s="2"/>
    </row>
    <row r="611" customFormat="false" ht="12.75" hidden="false" customHeight="false" outlineLevel="0" collapsed="false">
      <c r="A611" s="2"/>
      <c r="G611" s="2"/>
    </row>
    <row r="612" customFormat="false" ht="12.75" hidden="false" customHeight="false" outlineLevel="0" collapsed="false">
      <c r="A612" s="2"/>
      <c r="G612" s="2"/>
    </row>
    <row r="613" customFormat="false" ht="12.75" hidden="false" customHeight="false" outlineLevel="0" collapsed="false">
      <c r="A613" s="2"/>
      <c r="G613" s="2"/>
    </row>
    <row r="614" customFormat="false" ht="12.75" hidden="false" customHeight="false" outlineLevel="0" collapsed="false">
      <c r="A614" s="2"/>
      <c r="G614" s="2"/>
    </row>
    <row r="615" customFormat="false" ht="12.75" hidden="false" customHeight="false" outlineLevel="0" collapsed="false">
      <c r="A615" s="2"/>
      <c r="G615" s="2"/>
    </row>
    <row r="616" customFormat="false" ht="12.75" hidden="false" customHeight="false" outlineLevel="0" collapsed="false">
      <c r="A616" s="2"/>
      <c r="G616" s="2"/>
    </row>
    <row r="617" customFormat="false" ht="12.75" hidden="false" customHeight="false" outlineLevel="0" collapsed="false">
      <c r="A617" s="2"/>
      <c r="G617" s="2"/>
    </row>
    <row r="618" customFormat="false" ht="12.75" hidden="false" customHeight="false" outlineLevel="0" collapsed="false">
      <c r="A618" s="2"/>
      <c r="G618" s="2"/>
    </row>
    <row r="619" customFormat="false" ht="12.75" hidden="false" customHeight="false" outlineLevel="0" collapsed="false">
      <c r="A619" s="2"/>
      <c r="G619" s="2"/>
    </row>
    <row r="620" customFormat="false" ht="12.75" hidden="false" customHeight="false" outlineLevel="0" collapsed="false">
      <c r="A620" s="2"/>
      <c r="G620" s="2"/>
    </row>
    <row r="621" customFormat="false" ht="12.75" hidden="false" customHeight="false" outlineLevel="0" collapsed="false">
      <c r="A621" s="2"/>
      <c r="G621" s="2"/>
    </row>
    <row r="622" customFormat="false" ht="12.75" hidden="false" customHeight="false" outlineLevel="0" collapsed="false">
      <c r="A622" s="2"/>
      <c r="G622" s="2"/>
    </row>
    <row r="623" customFormat="false" ht="12.75" hidden="false" customHeight="false" outlineLevel="0" collapsed="false">
      <c r="A623" s="2"/>
      <c r="G623" s="2"/>
    </row>
    <row r="624" customFormat="false" ht="12.75" hidden="false" customHeight="false" outlineLevel="0" collapsed="false">
      <c r="A624" s="2"/>
      <c r="G624" s="2"/>
    </row>
    <row r="625" customFormat="false" ht="12.75" hidden="false" customHeight="false" outlineLevel="0" collapsed="false">
      <c r="A625" s="2"/>
      <c r="G625" s="2"/>
    </row>
    <row r="626" customFormat="false" ht="12.75" hidden="false" customHeight="false" outlineLevel="0" collapsed="false">
      <c r="A626" s="2"/>
      <c r="G626" s="2"/>
    </row>
    <row r="627" customFormat="false" ht="12.75" hidden="false" customHeight="false" outlineLevel="0" collapsed="false">
      <c r="A627" s="2"/>
      <c r="G627" s="2"/>
    </row>
    <row r="628" customFormat="false" ht="12.75" hidden="false" customHeight="false" outlineLevel="0" collapsed="false">
      <c r="A628" s="2"/>
      <c r="G628" s="2"/>
    </row>
    <row r="629" customFormat="false" ht="12.75" hidden="false" customHeight="false" outlineLevel="0" collapsed="false">
      <c r="A629" s="2"/>
      <c r="G629" s="2"/>
    </row>
    <row r="630" customFormat="false" ht="12.75" hidden="false" customHeight="false" outlineLevel="0" collapsed="false">
      <c r="A630" s="2"/>
      <c r="G630" s="2"/>
    </row>
    <row r="631" customFormat="false" ht="12.75" hidden="false" customHeight="false" outlineLevel="0" collapsed="false">
      <c r="A631" s="2"/>
      <c r="G631" s="2"/>
    </row>
    <row r="632" customFormat="false" ht="12.75" hidden="false" customHeight="false" outlineLevel="0" collapsed="false">
      <c r="A632" s="2"/>
      <c r="G632" s="2"/>
    </row>
    <row r="633" customFormat="false" ht="12.75" hidden="false" customHeight="false" outlineLevel="0" collapsed="false">
      <c r="A633" s="2"/>
      <c r="G633" s="2"/>
    </row>
    <row r="634" customFormat="false" ht="12.75" hidden="false" customHeight="false" outlineLevel="0" collapsed="false">
      <c r="A634" s="2"/>
      <c r="G634" s="2"/>
    </row>
    <row r="635" customFormat="false" ht="12.75" hidden="false" customHeight="false" outlineLevel="0" collapsed="false">
      <c r="A635" s="2"/>
      <c r="G635" s="2"/>
    </row>
    <row r="636" customFormat="false" ht="12.75" hidden="false" customHeight="false" outlineLevel="0" collapsed="false">
      <c r="A636" s="2"/>
      <c r="G636" s="2"/>
    </row>
    <row r="637" customFormat="false" ht="12.75" hidden="false" customHeight="false" outlineLevel="0" collapsed="false">
      <c r="A637" s="2"/>
      <c r="G637" s="2"/>
    </row>
    <row r="638" customFormat="false" ht="12.75" hidden="false" customHeight="false" outlineLevel="0" collapsed="false">
      <c r="A638" s="2"/>
      <c r="G638" s="2"/>
    </row>
    <row r="639" customFormat="false" ht="12.75" hidden="false" customHeight="false" outlineLevel="0" collapsed="false">
      <c r="A639" s="2"/>
      <c r="G639" s="2"/>
    </row>
    <row r="640" customFormat="false" ht="12.75" hidden="false" customHeight="false" outlineLevel="0" collapsed="false">
      <c r="A640" s="2"/>
      <c r="G640" s="2"/>
    </row>
    <row r="641" customFormat="false" ht="12.75" hidden="false" customHeight="false" outlineLevel="0" collapsed="false">
      <c r="A641" s="2"/>
      <c r="G641" s="2"/>
    </row>
    <row r="642" customFormat="false" ht="12.75" hidden="false" customHeight="false" outlineLevel="0" collapsed="false">
      <c r="A642" s="2"/>
      <c r="G642" s="2"/>
    </row>
    <row r="643" customFormat="false" ht="12.75" hidden="false" customHeight="false" outlineLevel="0" collapsed="false">
      <c r="A643" s="2"/>
      <c r="G643" s="2"/>
    </row>
    <row r="644" customFormat="false" ht="12.75" hidden="false" customHeight="false" outlineLevel="0" collapsed="false">
      <c r="A644" s="2"/>
      <c r="G644" s="2"/>
    </row>
    <row r="645" customFormat="false" ht="12.75" hidden="false" customHeight="false" outlineLevel="0" collapsed="false">
      <c r="A645" s="2"/>
      <c r="G645" s="2"/>
    </row>
    <row r="646" customFormat="false" ht="12.75" hidden="false" customHeight="false" outlineLevel="0" collapsed="false">
      <c r="A646" s="2"/>
      <c r="G646" s="2"/>
    </row>
    <row r="647" customFormat="false" ht="12.75" hidden="false" customHeight="false" outlineLevel="0" collapsed="false">
      <c r="A647" s="2"/>
      <c r="G647" s="2"/>
    </row>
    <row r="648" customFormat="false" ht="12.75" hidden="false" customHeight="false" outlineLevel="0" collapsed="false">
      <c r="A648" s="2"/>
      <c r="G648" s="2"/>
    </row>
    <row r="649" customFormat="false" ht="12.75" hidden="false" customHeight="false" outlineLevel="0" collapsed="false">
      <c r="A649" s="2"/>
      <c r="G649" s="2"/>
    </row>
    <row r="650" customFormat="false" ht="12.75" hidden="false" customHeight="false" outlineLevel="0" collapsed="false">
      <c r="A650" s="2"/>
      <c r="G650" s="2"/>
    </row>
    <row r="651" customFormat="false" ht="12.75" hidden="false" customHeight="false" outlineLevel="0" collapsed="false">
      <c r="A651" s="2"/>
      <c r="G651" s="2"/>
    </row>
    <row r="652" customFormat="false" ht="12.75" hidden="false" customHeight="false" outlineLevel="0" collapsed="false">
      <c r="A652" s="2"/>
      <c r="G652" s="2"/>
    </row>
    <row r="653" customFormat="false" ht="12.75" hidden="false" customHeight="false" outlineLevel="0" collapsed="false">
      <c r="A653" s="2"/>
      <c r="G653" s="2"/>
    </row>
    <row r="654" customFormat="false" ht="12.75" hidden="false" customHeight="false" outlineLevel="0" collapsed="false">
      <c r="A654" s="2"/>
      <c r="G654" s="2"/>
    </row>
    <row r="655" customFormat="false" ht="12.75" hidden="false" customHeight="false" outlineLevel="0" collapsed="false">
      <c r="A655" s="2"/>
      <c r="G655" s="2"/>
    </row>
    <row r="656" customFormat="false" ht="12.75" hidden="false" customHeight="false" outlineLevel="0" collapsed="false">
      <c r="A656" s="2"/>
      <c r="G656" s="2"/>
    </row>
    <row r="657" customFormat="false" ht="12.75" hidden="false" customHeight="false" outlineLevel="0" collapsed="false">
      <c r="A657" s="2"/>
      <c r="G657" s="2"/>
    </row>
    <row r="658" customFormat="false" ht="12.75" hidden="false" customHeight="false" outlineLevel="0" collapsed="false">
      <c r="A658" s="2"/>
      <c r="G658" s="2"/>
    </row>
    <row r="659" customFormat="false" ht="12.75" hidden="false" customHeight="false" outlineLevel="0" collapsed="false">
      <c r="A659" s="2"/>
      <c r="G659" s="2"/>
    </row>
    <row r="660" customFormat="false" ht="12.75" hidden="false" customHeight="false" outlineLevel="0" collapsed="false">
      <c r="A660" s="2"/>
      <c r="G660" s="2"/>
    </row>
    <row r="661" customFormat="false" ht="12.75" hidden="false" customHeight="false" outlineLevel="0" collapsed="false">
      <c r="A661" s="2"/>
      <c r="G661" s="2"/>
    </row>
    <row r="662" customFormat="false" ht="12.75" hidden="false" customHeight="false" outlineLevel="0" collapsed="false">
      <c r="A662" s="2"/>
      <c r="G662" s="2"/>
    </row>
    <row r="663" customFormat="false" ht="12.75" hidden="false" customHeight="false" outlineLevel="0" collapsed="false">
      <c r="A663" s="2"/>
      <c r="G663" s="2"/>
    </row>
    <row r="664" customFormat="false" ht="12.75" hidden="false" customHeight="false" outlineLevel="0" collapsed="false">
      <c r="A664" s="2"/>
      <c r="G664" s="2"/>
    </row>
    <row r="665" customFormat="false" ht="12.75" hidden="false" customHeight="false" outlineLevel="0" collapsed="false">
      <c r="A665" s="2"/>
      <c r="G665" s="2"/>
    </row>
    <row r="666" customFormat="false" ht="12.75" hidden="false" customHeight="false" outlineLevel="0" collapsed="false">
      <c r="A666" s="2"/>
      <c r="G666" s="2"/>
    </row>
    <row r="667" customFormat="false" ht="12.75" hidden="false" customHeight="false" outlineLevel="0" collapsed="false">
      <c r="A667" s="2"/>
      <c r="G667" s="2"/>
    </row>
    <row r="668" customFormat="false" ht="12.75" hidden="false" customHeight="false" outlineLevel="0" collapsed="false">
      <c r="A668" s="2"/>
      <c r="G668" s="2"/>
    </row>
    <row r="669" customFormat="false" ht="12.75" hidden="false" customHeight="false" outlineLevel="0" collapsed="false">
      <c r="A669" s="2"/>
      <c r="G669" s="2"/>
    </row>
    <row r="670" customFormat="false" ht="12.75" hidden="false" customHeight="false" outlineLevel="0" collapsed="false">
      <c r="A670" s="2"/>
      <c r="G670" s="2"/>
    </row>
    <row r="671" customFormat="false" ht="12.75" hidden="false" customHeight="false" outlineLevel="0" collapsed="false">
      <c r="A671" s="2"/>
      <c r="G671" s="2"/>
    </row>
    <row r="672" customFormat="false" ht="12.75" hidden="false" customHeight="false" outlineLevel="0" collapsed="false">
      <c r="A672" s="2"/>
      <c r="G672" s="2"/>
    </row>
    <row r="673" customFormat="false" ht="12.75" hidden="false" customHeight="false" outlineLevel="0" collapsed="false">
      <c r="A673" s="2"/>
      <c r="G673" s="2"/>
    </row>
    <row r="674" customFormat="false" ht="12.75" hidden="false" customHeight="false" outlineLevel="0" collapsed="false">
      <c r="A674" s="2"/>
      <c r="G674" s="2"/>
    </row>
    <row r="675" customFormat="false" ht="12.75" hidden="false" customHeight="false" outlineLevel="0" collapsed="false">
      <c r="A675" s="2"/>
      <c r="G675" s="2"/>
    </row>
    <row r="676" customFormat="false" ht="12.75" hidden="false" customHeight="false" outlineLevel="0" collapsed="false">
      <c r="A676" s="2"/>
      <c r="G676" s="2"/>
    </row>
    <row r="677" customFormat="false" ht="12.75" hidden="false" customHeight="false" outlineLevel="0" collapsed="false">
      <c r="A677" s="2"/>
      <c r="G677" s="2"/>
    </row>
    <row r="678" customFormat="false" ht="12.75" hidden="false" customHeight="false" outlineLevel="0" collapsed="false">
      <c r="A678" s="2"/>
      <c r="G678" s="2"/>
    </row>
    <row r="679" customFormat="false" ht="12.75" hidden="false" customHeight="false" outlineLevel="0" collapsed="false">
      <c r="A679" s="2"/>
      <c r="G679" s="2"/>
    </row>
    <row r="680" customFormat="false" ht="12.75" hidden="false" customHeight="false" outlineLevel="0" collapsed="false">
      <c r="A680" s="2"/>
      <c r="G680" s="2"/>
    </row>
    <row r="681" customFormat="false" ht="12.75" hidden="false" customHeight="false" outlineLevel="0" collapsed="false">
      <c r="A681" s="2"/>
      <c r="G681" s="2"/>
    </row>
    <row r="682" customFormat="false" ht="12.75" hidden="false" customHeight="false" outlineLevel="0" collapsed="false">
      <c r="A682" s="2"/>
      <c r="G682" s="2"/>
    </row>
    <row r="683" customFormat="false" ht="12.75" hidden="false" customHeight="false" outlineLevel="0" collapsed="false">
      <c r="A683" s="2"/>
      <c r="G683" s="2"/>
    </row>
    <row r="684" customFormat="false" ht="12.75" hidden="false" customHeight="false" outlineLevel="0" collapsed="false">
      <c r="A684" s="2"/>
      <c r="G684" s="2"/>
    </row>
    <row r="685" customFormat="false" ht="12.75" hidden="false" customHeight="false" outlineLevel="0" collapsed="false">
      <c r="A685" s="2"/>
      <c r="G685" s="2"/>
    </row>
    <row r="686" customFormat="false" ht="12.75" hidden="false" customHeight="false" outlineLevel="0" collapsed="false">
      <c r="A686" s="2"/>
      <c r="G686" s="2"/>
    </row>
    <row r="687" customFormat="false" ht="12.75" hidden="false" customHeight="false" outlineLevel="0" collapsed="false">
      <c r="A687" s="2"/>
      <c r="G687" s="2"/>
    </row>
    <row r="688" customFormat="false" ht="12.75" hidden="false" customHeight="false" outlineLevel="0" collapsed="false">
      <c r="A688" s="2"/>
      <c r="G688" s="2"/>
    </row>
    <row r="689" customFormat="false" ht="12.75" hidden="false" customHeight="false" outlineLevel="0" collapsed="false">
      <c r="A689" s="2"/>
      <c r="G689" s="2"/>
    </row>
    <row r="690" customFormat="false" ht="12.75" hidden="false" customHeight="false" outlineLevel="0" collapsed="false">
      <c r="A690" s="2"/>
      <c r="G690" s="2"/>
    </row>
    <row r="691" customFormat="false" ht="12.75" hidden="false" customHeight="false" outlineLevel="0" collapsed="false">
      <c r="A691" s="2"/>
      <c r="G691" s="2"/>
    </row>
    <row r="692" customFormat="false" ht="12.75" hidden="false" customHeight="false" outlineLevel="0" collapsed="false">
      <c r="A692" s="2"/>
      <c r="G692" s="2"/>
    </row>
    <row r="693" customFormat="false" ht="12.75" hidden="false" customHeight="false" outlineLevel="0" collapsed="false">
      <c r="A693" s="2"/>
      <c r="G693" s="2"/>
    </row>
    <row r="694" customFormat="false" ht="12.75" hidden="false" customHeight="false" outlineLevel="0" collapsed="false">
      <c r="A694" s="2"/>
      <c r="G694" s="2"/>
    </row>
    <row r="695" customFormat="false" ht="12.75" hidden="false" customHeight="false" outlineLevel="0" collapsed="false">
      <c r="A695" s="2"/>
      <c r="G695" s="2"/>
    </row>
    <row r="696" customFormat="false" ht="12.75" hidden="false" customHeight="false" outlineLevel="0" collapsed="false">
      <c r="A696" s="2"/>
      <c r="G696" s="2"/>
    </row>
    <row r="697" customFormat="false" ht="12.75" hidden="false" customHeight="false" outlineLevel="0" collapsed="false">
      <c r="A697" s="2"/>
      <c r="G697" s="2"/>
    </row>
    <row r="698" customFormat="false" ht="12.75" hidden="false" customHeight="false" outlineLevel="0" collapsed="false">
      <c r="A698" s="2"/>
      <c r="G698" s="2"/>
    </row>
    <row r="699" customFormat="false" ht="12.75" hidden="false" customHeight="false" outlineLevel="0" collapsed="false">
      <c r="A699" s="2"/>
      <c r="G699" s="2"/>
    </row>
    <row r="700" customFormat="false" ht="12.75" hidden="false" customHeight="false" outlineLevel="0" collapsed="false">
      <c r="A700" s="2"/>
      <c r="G700" s="2"/>
    </row>
    <row r="701" customFormat="false" ht="12.75" hidden="false" customHeight="false" outlineLevel="0" collapsed="false">
      <c r="A701" s="2"/>
      <c r="G701" s="2"/>
    </row>
    <row r="702" customFormat="false" ht="12.75" hidden="false" customHeight="false" outlineLevel="0" collapsed="false">
      <c r="A702" s="2"/>
      <c r="G702" s="2"/>
    </row>
    <row r="703" customFormat="false" ht="12.75" hidden="false" customHeight="false" outlineLevel="0" collapsed="false">
      <c r="A703" s="2"/>
      <c r="G703" s="2"/>
    </row>
    <row r="704" customFormat="false" ht="12.75" hidden="false" customHeight="false" outlineLevel="0" collapsed="false">
      <c r="A704" s="2"/>
      <c r="G704" s="2"/>
    </row>
    <row r="705" customFormat="false" ht="12.75" hidden="false" customHeight="false" outlineLevel="0" collapsed="false">
      <c r="A705" s="2"/>
      <c r="G705" s="2"/>
    </row>
    <row r="706" customFormat="false" ht="12.75" hidden="false" customHeight="false" outlineLevel="0" collapsed="false">
      <c r="A706" s="2"/>
      <c r="G706" s="2"/>
    </row>
    <row r="707" customFormat="false" ht="12.75" hidden="false" customHeight="false" outlineLevel="0" collapsed="false">
      <c r="A707" s="2"/>
      <c r="G707" s="2"/>
    </row>
    <row r="708" customFormat="false" ht="12.75" hidden="false" customHeight="false" outlineLevel="0" collapsed="false">
      <c r="A708" s="2"/>
      <c r="G708" s="2"/>
    </row>
    <row r="709" customFormat="false" ht="12.75" hidden="false" customHeight="false" outlineLevel="0" collapsed="false">
      <c r="A709" s="2"/>
      <c r="G709" s="2"/>
    </row>
    <row r="710" customFormat="false" ht="12.75" hidden="false" customHeight="false" outlineLevel="0" collapsed="false">
      <c r="A710" s="2"/>
      <c r="G710" s="2"/>
    </row>
    <row r="711" customFormat="false" ht="12.75" hidden="false" customHeight="false" outlineLevel="0" collapsed="false">
      <c r="A711" s="2"/>
      <c r="G711" s="2"/>
    </row>
    <row r="712" customFormat="false" ht="12.75" hidden="false" customHeight="false" outlineLevel="0" collapsed="false">
      <c r="A712" s="2"/>
      <c r="G712" s="2"/>
    </row>
    <row r="713" customFormat="false" ht="12.75" hidden="false" customHeight="false" outlineLevel="0" collapsed="false">
      <c r="A713" s="2"/>
      <c r="G713" s="2"/>
    </row>
    <row r="714" customFormat="false" ht="12.75" hidden="false" customHeight="false" outlineLevel="0" collapsed="false">
      <c r="A714" s="2"/>
      <c r="G714" s="2"/>
    </row>
    <row r="715" customFormat="false" ht="12.75" hidden="false" customHeight="false" outlineLevel="0" collapsed="false">
      <c r="A715" s="2"/>
      <c r="G715" s="2"/>
    </row>
    <row r="716" customFormat="false" ht="12.75" hidden="false" customHeight="false" outlineLevel="0" collapsed="false">
      <c r="A716" s="2"/>
      <c r="G716" s="2"/>
    </row>
    <row r="717" customFormat="false" ht="12.75" hidden="false" customHeight="false" outlineLevel="0" collapsed="false">
      <c r="A717" s="2"/>
      <c r="G717" s="2"/>
    </row>
    <row r="718" customFormat="false" ht="12.75" hidden="false" customHeight="false" outlineLevel="0" collapsed="false">
      <c r="A718" s="2"/>
      <c r="G718" s="2"/>
    </row>
    <row r="719" customFormat="false" ht="12.75" hidden="false" customHeight="false" outlineLevel="0" collapsed="false">
      <c r="A719" s="2"/>
      <c r="G719" s="2"/>
    </row>
    <row r="720" customFormat="false" ht="12.75" hidden="false" customHeight="false" outlineLevel="0" collapsed="false">
      <c r="A720" s="2"/>
      <c r="G720" s="2"/>
    </row>
    <row r="721" customFormat="false" ht="12.75" hidden="false" customHeight="false" outlineLevel="0" collapsed="false">
      <c r="A721" s="2"/>
      <c r="G721" s="2"/>
    </row>
    <row r="722" customFormat="false" ht="12.75" hidden="false" customHeight="false" outlineLevel="0" collapsed="false">
      <c r="A722" s="2"/>
      <c r="G722" s="2"/>
    </row>
    <row r="723" customFormat="false" ht="12.75" hidden="false" customHeight="false" outlineLevel="0" collapsed="false">
      <c r="A723" s="2"/>
      <c r="G723" s="2"/>
    </row>
    <row r="724" customFormat="false" ht="12.75" hidden="false" customHeight="false" outlineLevel="0" collapsed="false">
      <c r="A724" s="2"/>
      <c r="G724" s="2"/>
    </row>
    <row r="725" customFormat="false" ht="12.75" hidden="false" customHeight="false" outlineLevel="0" collapsed="false">
      <c r="A725" s="2"/>
      <c r="G725" s="2"/>
    </row>
    <row r="726" customFormat="false" ht="12.75" hidden="false" customHeight="false" outlineLevel="0" collapsed="false">
      <c r="A726" s="2"/>
      <c r="G726" s="2"/>
    </row>
    <row r="727" customFormat="false" ht="12.75" hidden="false" customHeight="false" outlineLevel="0" collapsed="false">
      <c r="A727" s="2"/>
      <c r="G727" s="2"/>
    </row>
    <row r="728" customFormat="false" ht="12.75" hidden="false" customHeight="false" outlineLevel="0" collapsed="false">
      <c r="A728" s="2"/>
      <c r="G728" s="2"/>
    </row>
    <row r="729" customFormat="false" ht="12.75" hidden="false" customHeight="false" outlineLevel="0" collapsed="false">
      <c r="A729" s="2"/>
      <c r="G729" s="2"/>
    </row>
    <row r="730" customFormat="false" ht="12.75" hidden="false" customHeight="false" outlineLevel="0" collapsed="false">
      <c r="A730" s="2"/>
      <c r="G730" s="2"/>
    </row>
    <row r="731" customFormat="false" ht="12.75" hidden="false" customHeight="false" outlineLevel="0" collapsed="false">
      <c r="A731" s="2"/>
      <c r="G731" s="2"/>
    </row>
    <row r="732" customFormat="false" ht="12.75" hidden="false" customHeight="false" outlineLevel="0" collapsed="false">
      <c r="A732" s="2"/>
      <c r="G732" s="2"/>
    </row>
    <row r="733" customFormat="false" ht="12.75" hidden="false" customHeight="false" outlineLevel="0" collapsed="false">
      <c r="A733" s="2"/>
      <c r="G733" s="2"/>
    </row>
    <row r="734" customFormat="false" ht="12.75" hidden="false" customHeight="false" outlineLevel="0" collapsed="false">
      <c r="A734" s="2"/>
      <c r="G734" s="2"/>
    </row>
    <row r="735" customFormat="false" ht="12.75" hidden="false" customHeight="false" outlineLevel="0" collapsed="false">
      <c r="A735" s="2"/>
      <c r="G735" s="2"/>
    </row>
    <row r="736" customFormat="false" ht="12.75" hidden="false" customHeight="false" outlineLevel="0" collapsed="false">
      <c r="A736" s="2"/>
      <c r="G736" s="2"/>
    </row>
    <row r="737" customFormat="false" ht="12.75" hidden="false" customHeight="false" outlineLevel="0" collapsed="false">
      <c r="A737" s="2"/>
      <c r="G737" s="2"/>
    </row>
    <row r="738" customFormat="false" ht="12.75" hidden="false" customHeight="false" outlineLevel="0" collapsed="false">
      <c r="A738" s="2"/>
      <c r="G738" s="2"/>
    </row>
    <row r="739" customFormat="false" ht="12.75" hidden="false" customHeight="false" outlineLevel="0" collapsed="false">
      <c r="A739" s="2"/>
      <c r="G739" s="2"/>
    </row>
    <row r="740" customFormat="false" ht="12.75" hidden="false" customHeight="false" outlineLevel="0" collapsed="false">
      <c r="A740" s="2"/>
      <c r="G740" s="2"/>
    </row>
    <row r="741" customFormat="false" ht="12.75" hidden="false" customHeight="false" outlineLevel="0" collapsed="false">
      <c r="A741" s="2"/>
      <c r="G741" s="2"/>
    </row>
    <row r="742" customFormat="false" ht="12.75" hidden="false" customHeight="false" outlineLevel="0" collapsed="false">
      <c r="A742" s="2"/>
      <c r="G742" s="2"/>
    </row>
    <row r="743" customFormat="false" ht="12.75" hidden="false" customHeight="false" outlineLevel="0" collapsed="false">
      <c r="A743" s="2"/>
      <c r="G743" s="2"/>
    </row>
    <row r="744" customFormat="false" ht="12.75" hidden="false" customHeight="false" outlineLevel="0" collapsed="false">
      <c r="A744" s="2"/>
      <c r="G744" s="2"/>
    </row>
    <row r="745" customFormat="false" ht="12.75" hidden="false" customHeight="false" outlineLevel="0" collapsed="false">
      <c r="A745" s="2"/>
      <c r="G745" s="2"/>
    </row>
    <row r="746" customFormat="false" ht="12.75" hidden="false" customHeight="false" outlineLevel="0" collapsed="false">
      <c r="A746" s="2"/>
      <c r="G746" s="2"/>
    </row>
    <row r="747" customFormat="false" ht="12.75" hidden="false" customHeight="false" outlineLevel="0" collapsed="false">
      <c r="A747" s="2"/>
      <c r="G747" s="2"/>
    </row>
    <row r="748" customFormat="false" ht="12.75" hidden="false" customHeight="false" outlineLevel="0" collapsed="false">
      <c r="A748" s="2"/>
      <c r="G748" s="2"/>
    </row>
    <row r="749" customFormat="false" ht="12.75" hidden="false" customHeight="false" outlineLevel="0" collapsed="false">
      <c r="A749" s="2"/>
      <c r="G749" s="2"/>
    </row>
    <row r="750" customFormat="false" ht="12.75" hidden="false" customHeight="false" outlineLevel="0" collapsed="false">
      <c r="A750" s="2"/>
      <c r="G750" s="2"/>
    </row>
    <row r="751" customFormat="false" ht="12.75" hidden="false" customHeight="false" outlineLevel="0" collapsed="false">
      <c r="A751" s="2"/>
      <c r="G751" s="2"/>
    </row>
    <row r="752" customFormat="false" ht="12.75" hidden="false" customHeight="false" outlineLevel="0" collapsed="false">
      <c r="A752" s="2"/>
      <c r="G752" s="2"/>
    </row>
    <row r="753" customFormat="false" ht="12.75" hidden="false" customHeight="false" outlineLevel="0" collapsed="false">
      <c r="A753" s="2"/>
      <c r="G753" s="2"/>
    </row>
    <row r="754" customFormat="false" ht="12.75" hidden="false" customHeight="false" outlineLevel="0" collapsed="false">
      <c r="A754" s="2"/>
      <c r="G754" s="2"/>
    </row>
    <row r="755" customFormat="false" ht="12.75" hidden="false" customHeight="false" outlineLevel="0" collapsed="false">
      <c r="A755" s="2"/>
      <c r="G755" s="2"/>
    </row>
    <row r="756" customFormat="false" ht="12.75" hidden="false" customHeight="false" outlineLevel="0" collapsed="false">
      <c r="A756" s="2"/>
      <c r="G756" s="2"/>
    </row>
    <row r="757" customFormat="false" ht="12.75" hidden="false" customHeight="false" outlineLevel="0" collapsed="false">
      <c r="A757" s="2"/>
      <c r="G757" s="2"/>
    </row>
    <row r="758" customFormat="false" ht="12.75" hidden="false" customHeight="false" outlineLevel="0" collapsed="false">
      <c r="A758" s="2"/>
      <c r="G758" s="2"/>
    </row>
    <row r="759" customFormat="false" ht="12.75" hidden="false" customHeight="false" outlineLevel="0" collapsed="false">
      <c r="A759" s="2"/>
      <c r="G759" s="2"/>
    </row>
    <row r="760" customFormat="false" ht="12.75" hidden="false" customHeight="false" outlineLevel="0" collapsed="false">
      <c r="A760" s="2"/>
      <c r="G760" s="2"/>
    </row>
    <row r="761" customFormat="false" ht="12.75" hidden="false" customHeight="false" outlineLevel="0" collapsed="false">
      <c r="A761" s="2"/>
      <c r="G761" s="2"/>
    </row>
    <row r="762" customFormat="false" ht="12.75" hidden="false" customHeight="false" outlineLevel="0" collapsed="false">
      <c r="A762" s="2"/>
      <c r="G762" s="2"/>
    </row>
    <row r="763" customFormat="false" ht="12.75" hidden="false" customHeight="false" outlineLevel="0" collapsed="false">
      <c r="A763" s="2"/>
      <c r="G763" s="2"/>
    </row>
    <row r="764" customFormat="false" ht="12.75" hidden="false" customHeight="false" outlineLevel="0" collapsed="false">
      <c r="A764" s="2"/>
      <c r="G764" s="2"/>
    </row>
    <row r="765" customFormat="false" ht="12.75" hidden="false" customHeight="false" outlineLevel="0" collapsed="false">
      <c r="A765" s="2"/>
      <c r="G765" s="2"/>
    </row>
    <row r="766" customFormat="false" ht="12.75" hidden="false" customHeight="false" outlineLevel="0" collapsed="false">
      <c r="A766" s="2"/>
      <c r="G766" s="2"/>
    </row>
    <row r="767" customFormat="false" ht="12.75" hidden="false" customHeight="false" outlineLevel="0" collapsed="false">
      <c r="A767" s="2"/>
      <c r="G767" s="2"/>
    </row>
    <row r="768" customFormat="false" ht="12.75" hidden="false" customHeight="false" outlineLevel="0" collapsed="false">
      <c r="A768" s="2"/>
      <c r="G768" s="2"/>
    </row>
    <row r="769" customFormat="false" ht="12.75" hidden="false" customHeight="false" outlineLevel="0" collapsed="false">
      <c r="A769" s="2"/>
      <c r="G769" s="2"/>
    </row>
    <row r="770" customFormat="false" ht="12.75" hidden="false" customHeight="false" outlineLevel="0" collapsed="false">
      <c r="A770" s="2"/>
      <c r="G770" s="2"/>
    </row>
    <row r="771" customFormat="false" ht="12.75" hidden="false" customHeight="false" outlineLevel="0" collapsed="false">
      <c r="A771" s="2"/>
      <c r="G771" s="2"/>
    </row>
    <row r="772" customFormat="false" ht="12.75" hidden="false" customHeight="false" outlineLevel="0" collapsed="false">
      <c r="A772" s="2"/>
      <c r="G772" s="2"/>
    </row>
    <row r="773" customFormat="false" ht="12.75" hidden="false" customHeight="false" outlineLevel="0" collapsed="false">
      <c r="A773" s="2"/>
      <c r="G773" s="2"/>
    </row>
    <row r="774" customFormat="false" ht="12.75" hidden="false" customHeight="false" outlineLevel="0" collapsed="false">
      <c r="A774" s="2"/>
      <c r="G774" s="2"/>
    </row>
    <row r="775" customFormat="false" ht="12.75" hidden="false" customHeight="false" outlineLevel="0" collapsed="false">
      <c r="A775" s="2"/>
      <c r="G775" s="2"/>
    </row>
    <row r="776" customFormat="false" ht="12.75" hidden="false" customHeight="false" outlineLevel="0" collapsed="false">
      <c r="A776" s="2"/>
      <c r="G776" s="2"/>
    </row>
    <row r="777" customFormat="false" ht="12.75" hidden="false" customHeight="false" outlineLevel="0" collapsed="false">
      <c r="A777" s="2"/>
      <c r="G777" s="2"/>
    </row>
    <row r="778" customFormat="false" ht="12.75" hidden="false" customHeight="false" outlineLevel="0" collapsed="false">
      <c r="A778" s="2"/>
      <c r="G778" s="2"/>
    </row>
    <row r="779" customFormat="false" ht="12.75" hidden="false" customHeight="false" outlineLevel="0" collapsed="false">
      <c r="A779" s="2"/>
      <c r="G779" s="2"/>
    </row>
    <row r="780" customFormat="false" ht="12.75" hidden="false" customHeight="false" outlineLevel="0" collapsed="false">
      <c r="A780" s="2"/>
      <c r="G780" s="2"/>
    </row>
    <row r="781" customFormat="false" ht="12.75" hidden="false" customHeight="false" outlineLevel="0" collapsed="false">
      <c r="A781" s="2"/>
      <c r="G781" s="2"/>
    </row>
    <row r="782" customFormat="false" ht="12.75" hidden="false" customHeight="false" outlineLevel="0" collapsed="false">
      <c r="A782" s="2"/>
      <c r="G782" s="2"/>
    </row>
    <row r="783" customFormat="false" ht="12.75" hidden="false" customHeight="false" outlineLevel="0" collapsed="false">
      <c r="A783" s="2"/>
      <c r="G783" s="2"/>
    </row>
    <row r="784" customFormat="false" ht="12.75" hidden="false" customHeight="false" outlineLevel="0" collapsed="false">
      <c r="A784" s="2"/>
      <c r="G784" s="2"/>
    </row>
    <row r="785" customFormat="false" ht="12.75" hidden="false" customHeight="false" outlineLevel="0" collapsed="false">
      <c r="A785" s="2"/>
      <c r="G785" s="2"/>
    </row>
    <row r="786" customFormat="false" ht="12.75" hidden="false" customHeight="false" outlineLevel="0" collapsed="false">
      <c r="A786" s="2"/>
      <c r="G786" s="2"/>
    </row>
    <row r="787" customFormat="false" ht="12.75" hidden="false" customHeight="false" outlineLevel="0" collapsed="false">
      <c r="A787" s="2"/>
      <c r="G787" s="2"/>
    </row>
    <row r="788" customFormat="false" ht="12.75" hidden="false" customHeight="false" outlineLevel="0" collapsed="false">
      <c r="A788" s="2"/>
      <c r="G788" s="2"/>
    </row>
    <row r="789" customFormat="false" ht="12.75" hidden="false" customHeight="false" outlineLevel="0" collapsed="false">
      <c r="A789" s="2"/>
      <c r="G789" s="2"/>
    </row>
    <row r="790" customFormat="false" ht="12.75" hidden="false" customHeight="false" outlineLevel="0" collapsed="false">
      <c r="A790" s="2"/>
      <c r="G790" s="2"/>
    </row>
    <row r="791" customFormat="false" ht="12.75" hidden="false" customHeight="false" outlineLevel="0" collapsed="false">
      <c r="A791" s="2"/>
      <c r="G791" s="2"/>
    </row>
    <row r="792" customFormat="false" ht="12.75" hidden="false" customHeight="false" outlineLevel="0" collapsed="false">
      <c r="A792" s="2"/>
      <c r="G792" s="2"/>
    </row>
    <row r="793" customFormat="false" ht="12.75" hidden="false" customHeight="false" outlineLevel="0" collapsed="false">
      <c r="A793" s="2"/>
      <c r="G793" s="2"/>
    </row>
    <row r="794" customFormat="false" ht="12.75" hidden="false" customHeight="false" outlineLevel="0" collapsed="false">
      <c r="A794" s="2"/>
      <c r="G794" s="2"/>
    </row>
    <row r="795" customFormat="false" ht="12.75" hidden="false" customHeight="false" outlineLevel="0" collapsed="false">
      <c r="A795" s="2"/>
      <c r="G795" s="2"/>
    </row>
    <row r="796" customFormat="false" ht="12.75" hidden="false" customHeight="false" outlineLevel="0" collapsed="false">
      <c r="A796" s="2"/>
      <c r="G796" s="2"/>
    </row>
    <row r="797" customFormat="false" ht="12.75" hidden="false" customHeight="false" outlineLevel="0" collapsed="false">
      <c r="A797" s="2"/>
      <c r="G797" s="2"/>
    </row>
    <row r="798" customFormat="false" ht="12.75" hidden="false" customHeight="false" outlineLevel="0" collapsed="false">
      <c r="A798" s="2"/>
      <c r="G798" s="2"/>
    </row>
    <row r="799" customFormat="false" ht="12.75" hidden="false" customHeight="false" outlineLevel="0" collapsed="false">
      <c r="A799" s="2"/>
      <c r="G799" s="2"/>
    </row>
    <row r="800" customFormat="false" ht="12.75" hidden="false" customHeight="false" outlineLevel="0" collapsed="false">
      <c r="A800" s="2"/>
      <c r="G800" s="2"/>
    </row>
    <row r="801" customFormat="false" ht="12.75" hidden="false" customHeight="false" outlineLevel="0" collapsed="false">
      <c r="A801" s="2"/>
      <c r="G801" s="2"/>
    </row>
    <row r="802" customFormat="false" ht="12.75" hidden="false" customHeight="false" outlineLevel="0" collapsed="false">
      <c r="A802" s="2"/>
      <c r="G802" s="2"/>
    </row>
    <row r="803" customFormat="false" ht="12.75" hidden="false" customHeight="false" outlineLevel="0" collapsed="false">
      <c r="A803" s="2"/>
      <c r="G803" s="2"/>
    </row>
    <row r="804" customFormat="false" ht="12.75" hidden="false" customHeight="false" outlineLevel="0" collapsed="false">
      <c r="A804" s="2"/>
      <c r="G804" s="2"/>
    </row>
    <row r="805" customFormat="false" ht="12.75" hidden="false" customHeight="false" outlineLevel="0" collapsed="false">
      <c r="A805" s="2"/>
      <c r="G805" s="2"/>
    </row>
    <row r="806" customFormat="false" ht="12.75" hidden="false" customHeight="false" outlineLevel="0" collapsed="false">
      <c r="A806" s="2"/>
      <c r="G806" s="2"/>
    </row>
    <row r="807" customFormat="false" ht="12.75" hidden="false" customHeight="false" outlineLevel="0" collapsed="false">
      <c r="A807" s="2"/>
      <c r="G807" s="2"/>
    </row>
    <row r="808" customFormat="false" ht="12.75" hidden="false" customHeight="false" outlineLevel="0" collapsed="false">
      <c r="A808" s="2"/>
      <c r="G808" s="2"/>
    </row>
    <row r="809" customFormat="false" ht="12.75" hidden="false" customHeight="false" outlineLevel="0" collapsed="false">
      <c r="A809" s="2"/>
      <c r="G809" s="2"/>
    </row>
    <row r="810" customFormat="false" ht="12.75" hidden="false" customHeight="false" outlineLevel="0" collapsed="false">
      <c r="A810" s="2"/>
      <c r="G810" s="2"/>
    </row>
    <row r="811" customFormat="false" ht="12.75" hidden="false" customHeight="false" outlineLevel="0" collapsed="false">
      <c r="A811" s="2"/>
      <c r="G811" s="2"/>
    </row>
    <row r="812" customFormat="false" ht="12.75" hidden="false" customHeight="false" outlineLevel="0" collapsed="false">
      <c r="A812" s="2"/>
      <c r="G812" s="2"/>
    </row>
    <row r="813" customFormat="false" ht="12.75" hidden="false" customHeight="false" outlineLevel="0" collapsed="false">
      <c r="A813" s="2"/>
      <c r="G813" s="2"/>
    </row>
    <row r="814" customFormat="false" ht="12.75" hidden="false" customHeight="false" outlineLevel="0" collapsed="false">
      <c r="A814" s="2"/>
      <c r="G814" s="2"/>
    </row>
    <row r="815" customFormat="false" ht="12.75" hidden="false" customHeight="false" outlineLevel="0" collapsed="false">
      <c r="A815" s="2"/>
      <c r="G815" s="2"/>
    </row>
    <row r="816" customFormat="false" ht="12.75" hidden="false" customHeight="false" outlineLevel="0" collapsed="false">
      <c r="A816" s="2"/>
      <c r="G816" s="2"/>
    </row>
    <row r="817" customFormat="false" ht="12.75" hidden="false" customHeight="false" outlineLevel="0" collapsed="false">
      <c r="A817" s="2"/>
      <c r="G817" s="2"/>
    </row>
    <row r="818" customFormat="false" ht="12.75" hidden="false" customHeight="false" outlineLevel="0" collapsed="false">
      <c r="A818" s="2"/>
      <c r="G818" s="2"/>
    </row>
    <row r="819" customFormat="false" ht="12.75" hidden="false" customHeight="false" outlineLevel="0" collapsed="false">
      <c r="A819" s="2"/>
      <c r="G819" s="2"/>
    </row>
    <row r="820" customFormat="false" ht="12.75" hidden="false" customHeight="false" outlineLevel="0" collapsed="false">
      <c r="A820" s="2"/>
      <c r="G820" s="2"/>
    </row>
    <row r="821" customFormat="false" ht="12.75" hidden="false" customHeight="false" outlineLevel="0" collapsed="false">
      <c r="A821" s="2"/>
      <c r="G821" s="2"/>
    </row>
    <row r="822" customFormat="false" ht="12.75" hidden="false" customHeight="false" outlineLevel="0" collapsed="false">
      <c r="A822" s="2"/>
      <c r="G822" s="2"/>
    </row>
    <row r="823" customFormat="false" ht="12.75" hidden="false" customHeight="false" outlineLevel="0" collapsed="false">
      <c r="A823" s="2"/>
      <c r="G823" s="2"/>
    </row>
    <row r="824" customFormat="false" ht="12.75" hidden="false" customHeight="false" outlineLevel="0" collapsed="false">
      <c r="A824" s="2"/>
      <c r="G824" s="2"/>
    </row>
    <row r="825" customFormat="false" ht="12.75" hidden="false" customHeight="false" outlineLevel="0" collapsed="false">
      <c r="A825" s="2"/>
      <c r="G825" s="2"/>
    </row>
    <row r="826" customFormat="false" ht="12.75" hidden="false" customHeight="false" outlineLevel="0" collapsed="false">
      <c r="A826" s="2"/>
      <c r="G826" s="2"/>
    </row>
    <row r="827" customFormat="false" ht="12.75" hidden="false" customHeight="false" outlineLevel="0" collapsed="false">
      <c r="A827" s="2"/>
      <c r="G827" s="2"/>
    </row>
    <row r="828" customFormat="false" ht="12.75" hidden="false" customHeight="false" outlineLevel="0" collapsed="false">
      <c r="A828" s="2"/>
      <c r="G828" s="2"/>
    </row>
    <row r="829" customFormat="false" ht="12.75" hidden="false" customHeight="false" outlineLevel="0" collapsed="false">
      <c r="A829" s="2"/>
      <c r="G829" s="2"/>
    </row>
    <row r="830" customFormat="false" ht="12.75" hidden="false" customHeight="false" outlineLevel="0" collapsed="false">
      <c r="A830" s="2"/>
      <c r="G830" s="2"/>
    </row>
    <row r="831" customFormat="false" ht="12.75" hidden="false" customHeight="false" outlineLevel="0" collapsed="false">
      <c r="A831" s="2"/>
      <c r="G831" s="2"/>
    </row>
    <row r="832" customFormat="false" ht="12.75" hidden="false" customHeight="false" outlineLevel="0" collapsed="false">
      <c r="A832" s="2"/>
      <c r="G832" s="2"/>
    </row>
    <row r="833" customFormat="false" ht="12.75" hidden="false" customHeight="false" outlineLevel="0" collapsed="false">
      <c r="A833" s="2"/>
      <c r="G833" s="2"/>
    </row>
    <row r="834" customFormat="false" ht="12.75" hidden="false" customHeight="false" outlineLevel="0" collapsed="false">
      <c r="A834" s="2"/>
      <c r="G834" s="2"/>
    </row>
    <row r="835" customFormat="false" ht="12.75" hidden="false" customHeight="false" outlineLevel="0" collapsed="false">
      <c r="A835" s="2"/>
      <c r="G835" s="2"/>
    </row>
    <row r="836" customFormat="false" ht="12.75" hidden="false" customHeight="false" outlineLevel="0" collapsed="false">
      <c r="A836" s="2"/>
      <c r="G836" s="2"/>
    </row>
    <row r="837" customFormat="false" ht="12.75" hidden="false" customHeight="false" outlineLevel="0" collapsed="false">
      <c r="A837" s="2"/>
      <c r="G837" s="2"/>
    </row>
    <row r="838" customFormat="false" ht="12.75" hidden="false" customHeight="false" outlineLevel="0" collapsed="false">
      <c r="A838" s="2"/>
      <c r="G838" s="2"/>
    </row>
    <row r="839" customFormat="false" ht="12.75" hidden="false" customHeight="false" outlineLevel="0" collapsed="false">
      <c r="A839" s="2"/>
      <c r="G839" s="2"/>
    </row>
    <row r="840" customFormat="false" ht="12.75" hidden="false" customHeight="false" outlineLevel="0" collapsed="false">
      <c r="A840" s="2"/>
      <c r="G840" s="2"/>
    </row>
    <row r="841" customFormat="false" ht="12.75" hidden="false" customHeight="false" outlineLevel="0" collapsed="false">
      <c r="A841" s="2"/>
      <c r="G841" s="2"/>
    </row>
    <row r="842" customFormat="false" ht="12.75" hidden="false" customHeight="false" outlineLevel="0" collapsed="false">
      <c r="A842" s="2"/>
      <c r="G842" s="2"/>
    </row>
    <row r="843" customFormat="false" ht="12.75" hidden="false" customHeight="false" outlineLevel="0" collapsed="false">
      <c r="A843" s="2"/>
      <c r="G843" s="2"/>
    </row>
    <row r="844" customFormat="false" ht="12.75" hidden="false" customHeight="false" outlineLevel="0" collapsed="false">
      <c r="A844" s="2"/>
      <c r="G844" s="2"/>
    </row>
    <row r="845" customFormat="false" ht="12.75" hidden="false" customHeight="false" outlineLevel="0" collapsed="false">
      <c r="A845" s="2"/>
      <c r="G845" s="2"/>
    </row>
    <row r="846" customFormat="false" ht="12.75" hidden="false" customHeight="false" outlineLevel="0" collapsed="false">
      <c r="A846" s="2"/>
      <c r="G846" s="2"/>
    </row>
    <row r="847" customFormat="false" ht="12.75" hidden="false" customHeight="false" outlineLevel="0" collapsed="false">
      <c r="A847" s="2"/>
      <c r="G847" s="2"/>
    </row>
    <row r="848" customFormat="false" ht="12.75" hidden="false" customHeight="false" outlineLevel="0" collapsed="false">
      <c r="A848" s="2"/>
      <c r="G848" s="2"/>
    </row>
    <row r="849" customFormat="false" ht="12.75" hidden="false" customHeight="false" outlineLevel="0" collapsed="false">
      <c r="A849" s="2"/>
      <c r="G849" s="2"/>
    </row>
    <row r="850" customFormat="false" ht="12.75" hidden="false" customHeight="false" outlineLevel="0" collapsed="false">
      <c r="A850" s="2"/>
      <c r="G850" s="2"/>
    </row>
    <row r="851" customFormat="false" ht="12.75" hidden="false" customHeight="false" outlineLevel="0" collapsed="false">
      <c r="A851" s="2"/>
      <c r="G851" s="2"/>
    </row>
    <row r="852" customFormat="false" ht="12.75" hidden="false" customHeight="false" outlineLevel="0" collapsed="false">
      <c r="A852" s="2"/>
      <c r="G852" s="2"/>
    </row>
    <row r="853" customFormat="false" ht="12.75" hidden="false" customHeight="false" outlineLevel="0" collapsed="false">
      <c r="A853" s="2"/>
      <c r="G853" s="2"/>
    </row>
    <row r="854" customFormat="false" ht="12.75" hidden="false" customHeight="false" outlineLevel="0" collapsed="false">
      <c r="A854" s="2"/>
      <c r="G854" s="2"/>
    </row>
    <row r="855" customFormat="false" ht="12.75" hidden="false" customHeight="false" outlineLevel="0" collapsed="false">
      <c r="A855" s="2"/>
      <c r="G855" s="2"/>
    </row>
    <row r="856" customFormat="false" ht="12.75" hidden="false" customHeight="false" outlineLevel="0" collapsed="false">
      <c r="A856" s="2"/>
      <c r="G856" s="2"/>
    </row>
    <row r="857" customFormat="false" ht="12.75" hidden="false" customHeight="false" outlineLevel="0" collapsed="false">
      <c r="A857" s="2"/>
      <c r="G857" s="2"/>
    </row>
    <row r="858" customFormat="false" ht="12.75" hidden="false" customHeight="false" outlineLevel="0" collapsed="false">
      <c r="A858" s="2"/>
      <c r="G858" s="2"/>
    </row>
    <row r="859" customFormat="false" ht="12.75" hidden="false" customHeight="false" outlineLevel="0" collapsed="false">
      <c r="A859" s="2"/>
      <c r="G859" s="2"/>
    </row>
    <row r="860" customFormat="false" ht="12.75" hidden="false" customHeight="false" outlineLevel="0" collapsed="false">
      <c r="A860" s="2"/>
      <c r="G860" s="2"/>
    </row>
    <row r="861" customFormat="false" ht="12.75" hidden="false" customHeight="false" outlineLevel="0" collapsed="false">
      <c r="A861" s="2"/>
      <c r="G861" s="2"/>
    </row>
    <row r="862" customFormat="false" ht="12.75" hidden="false" customHeight="false" outlineLevel="0" collapsed="false">
      <c r="A862" s="2"/>
      <c r="G862" s="2"/>
    </row>
    <row r="863" customFormat="false" ht="12.75" hidden="false" customHeight="false" outlineLevel="0" collapsed="false">
      <c r="A863" s="2"/>
      <c r="G863" s="2"/>
    </row>
    <row r="864" customFormat="false" ht="12.75" hidden="false" customHeight="false" outlineLevel="0" collapsed="false">
      <c r="A864" s="2"/>
      <c r="G864" s="2"/>
    </row>
    <row r="865" customFormat="false" ht="12.75" hidden="false" customHeight="false" outlineLevel="0" collapsed="false">
      <c r="A865" s="2"/>
      <c r="G865" s="2"/>
    </row>
    <row r="866" customFormat="false" ht="12.75" hidden="false" customHeight="false" outlineLevel="0" collapsed="false">
      <c r="A866" s="2"/>
      <c r="G866" s="2"/>
    </row>
    <row r="867" customFormat="false" ht="12.75" hidden="false" customHeight="false" outlineLevel="0" collapsed="false">
      <c r="A867" s="2"/>
      <c r="G867" s="2"/>
    </row>
    <row r="868" customFormat="false" ht="12.75" hidden="false" customHeight="false" outlineLevel="0" collapsed="false">
      <c r="A868" s="2"/>
      <c r="G868" s="2"/>
    </row>
    <row r="869" customFormat="false" ht="12.75" hidden="false" customHeight="false" outlineLevel="0" collapsed="false">
      <c r="A869" s="2"/>
      <c r="G869" s="2"/>
    </row>
    <row r="870" customFormat="false" ht="12.75" hidden="false" customHeight="false" outlineLevel="0" collapsed="false">
      <c r="A870" s="2"/>
      <c r="G870" s="2"/>
    </row>
    <row r="871" customFormat="false" ht="12.75" hidden="false" customHeight="false" outlineLevel="0" collapsed="false">
      <c r="A871" s="2"/>
      <c r="G871" s="2"/>
    </row>
    <row r="872" customFormat="false" ht="12.75" hidden="false" customHeight="false" outlineLevel="0" collapsed="false">
      <c r="A872" s="2"/>
      <c r="G872" s="2"/>
    </row>
    <row r="873" customFormat="false" ht="12.75" hidden="false" customHeight="false" outlineLevel="0" collapsed="false">
      <c r="A873" s="2"/>
      <c r="G873" s="2"/>
    </row>
    <row r="874" customFormat="false" ht="12.75" hidden="false" customHeight="false" outlineLevel="0" collapsed="false">
      <c r="A874" s="2"/>
      <c r="G874" s="2"/>
    </row>
    <row r="875" customFormat="false" ht="12.75" hidden="false" customHeight="false" outlineLevel="0" collapsed="false">
      <c r="A875" s="2"/>
      <c r="G875" s="2"/>
    </row>
    <row r="876" customFormat="false" ht="12.75" hidden="false" customHeight="false" outlineLevel="0" collapsed="false">
      <c r="A876" s="2"/>
      <c r="G876" s="2"/>
    </row>
    <row r="877" customFormat="false" ht="12.75" hidden="false" customHeight="false" outlineLevel="0" collapsed="false">
      <c r="A877" s="2"/>
      <c r="G877" s="2"/>
    </row>
    <row r="878" customFormat="false" ht="12.75" hidden="false" customHeight="false" outlineLevel="0" collapsed="false">
      <c r="A878" s="2"/>
      <c r="G878" s="2"/>
    </row>
    <row r="879" customFormat="false" ht="12.75" hidden="false" customHeight="false" outlineLevel="0" collapsed="false">
      <c r="A879" s="2"/>
      <c r="G879" s="2"/>
    </row>
    <row r="880" customFormat="false" ht="12.75" hidden="false" customHeight="false" outlineLevel="0" collapsed="false">
      <c r="A880" s="2"/>
      <c r="G880" s="2"/>
    </row>
    <row r="881" customFormat="false" ht="12.75" hidden="false" customHeight="false" outlineLevel="0" collapsed="false">
      <c r="A881" s="2"/>
      <c r="G881" s="2"/>
    </row>
    <row r="882" customFormat="false" ht="12.75" hidden="false" customHeight="false" outlineLevel="0" collapsed="false">
      <c r="A882" s="2"/>
      <c r="G882" s="2"/>
    </row>
    <row r="883" customFormat="false" ht="12.75" hidden="false" customHeight="false" outlineLevel="0" collapsed="false">
      <c r="A883" s="2"/>
      <c r="G883" s="2"/>
    </row>
    <row r="884" customFormat="false" ht="12.75" hidden="false" customHeight="false" outlineLevel="0" collapsed="false">
      <c r="A884" s="2"/>
      <c r="G884" s="2"/>
    </row>
    <row r="885" customFormat="false" ht="12.75" hidden="false" customHeight="false" outlineLevel="0" collapsed="false">
      <c r="A885" s="2"/>
      <c r="G885" s="2"/>
    </row>
    <row r="886" customFormat="false" ht="12.75" hidden="false" customHeight="false" outlineLevel="0" collapsed="false">
      <c r="A886" s="2"/>
      <c r="G886" s="2"/>
    </row>
    <row r="887" customFormat="false" ht="12.75" hidden="false" customHeight="false" outlineLevel="0" collapsed="false">
      <c r="A887" s="2"/>
      <c r="G887" s="2"/>
    </row>
    <row r="888" customFormat="false" ht="12.75" hidden="false" customHeight="false" outlineLevel="0" collapsed="false">
      <c r="A888" s="2"/>
      <c r="G888" s="2"/>
    </row>
    <row r="889" customFormat="false" ht="12.75" hidden="false" customHeight="false" outlineLevel="0" collapsed="false">
      <c r="A889" s="2"/>
      <c r="G889" s="2"/>
    </row>
    <row r="890" customFormat="false" ht="12.75" hidden="false" customHeight="false" outlineLevel="0" collapsed="false">
      <c r="A890" s="2"/>
      <c r="G890" s="2"/>
    </row>
    <row r="891" customFormat="false" ht="12.75" hidden="false" customHeight="false" outlineLevel="0" collapsed="false">
      <c r="A891" s="2"/>
      <c r="G891" s="2"/>
    </row>
    <row r="892" customFormat="false" ht="12.75" hidden="false" customHeight="false" outlineLevel="0" collapsed="false">
      <c r="A892" s="2"/>
      <c r="G892" s="2"/>
    </row>
    <row r="893" customFormat="false" ht="12.75" hidden="false" customHeight="false" outlineLevel="0" collapsed="false">
      <c r="A893" s="2"/>
      <c r="G893" s="2"/>
    </row>
    <row r="894" customFormat="false" ht="12.75" hidden="false" customHeight="false" outlineLevel="0" collapsed="false">
      <c r="A894" s="2"/>
      <c r="G894" s="2"/>
    </row>
    <row r="895" customFormat="false" ht="12.75" hidden="false" customHeight="false" outlineLevel="0" collapsed="false">
      <c r="A895" s="2"/>
      <c r="G895" s="2"/>
    </row>
    <row r="896" customFormat="false" ht="12.75" hidden="false" customHeight="false" outlineLevel="0" collapsed="false">
      <c r="A896" s="2"/>
      <c r="G896" s="2"/>
    </row>
    <row r="897" customFormat="false" ht="12.75" hidden="false" customHeight="false" outlineLevel="0" collapsed="false">
      <c r="A897" s="2"/>
      <c r="G897" s="2"/>
    </row>
    <row r="898" customFormat="false" ht="12.75" hidden="false" customHeight="false" outlineLevel="0" collapsed="false">
      <c r="A898" s="2"/>
      <c r="G898" s="2"/>
    </row>
    <row r="899" customFormat="false" ht="12.75" hidden="false" customHeight="false" outlineLevel="0" collapsed="false">
      <c r="A899" s="2"/>
      <c r="G899" s="2"/>
    </row>
    <row r="900" customFormat="false" ht="12.75" hidden="false" customHeight="false" outlineLevel="0" collapsed="false">
      <c r="A900" s="2"/>
      <c r="G900" s="2"/>
    </row>
    <row r="901" customFormat="false" ht="12.75" hidden="false" customHeight="false" outlineLevel="0" collapsed="false">
      <c r="A901" s="2"/>
      <c r="G901" s="2"/>
    </row>
    <row r="902" customFormat="false" ht="12.75" hidden="false" customHeight="false" outlineLevel="0" collapsed="false">
      <c r="A902" s="2"/>
      <c r="G902" s="2"/>
    </row>
    <row r="903" customFormat="false" ht="12.75" hidden="false" customHeight="false" outlineLevel="0" collapsed="false">
      <c r="A903" s="2"/>
      <c r="G903" s="2"/>
    </row>
    <row r="904" customFormat="false" ht="12.75" hidden="false" customHeight="false" outlineLevel="0" collapsed="false">
      <c r="A904" s="2"/>
      <c r="G904" s="2"/>
    </row>
    <row r="905" customFormat="false" ht="12.75" hidden="false" customHeight="false" outlineLevel="0" collapsed="false">
      <c r="A905" s="2"/>
      <c r="G905" s="2"/>
    </row>
    <row r="906" customFormat="false" ht="12.75" hidden="false" customHeight="false" outlineLevel="0" collapsed="false">
      <c r="A906" s="2"/>
      <c r="G906" s="2"/>
    </row>
    <row r="907" customFormat="false" ht="12.75" hidden="false" customHeight="false" outlineLevel="0" collapsed="false">
      <c r="A907" s="2"/>
      <c r="G907" s="2"/>
    </row>
    <row r="908" customFormat="false" ht="12.75" hidden="false" customHeight="false" outlineLevel="0" collapsed="false">
      <c r="A908" s="2"/>
      <c r="G908" s="2"/>
    </row>
    <row r="909" customFormat="false" ht="12.75" hidden="false" customHeight="false" outlineLevel="0" collapsed="false">
      <c r="A909" s="2"/>
      <c r="G909" s="2"/>
    </row>
    <row r="910" customFormat="false" ht="12.75" hidden="false" customHeight="false" outlineLevel="0" collapsed="false">
      <c r="A910" s="2"/>
      <c r="G910" s="2"/>
    </row>
    <row r="911" customFormat="false" ht="12.75" hidden="false" customHeight="false" outlineLevel="0" collapsed="false">
      <c r="A911" s="2"/>
      <c r="G911" s="2"/>
    </row>
    <row r="912" customFormat="false" ht="12.75" hidden="false" customHeight="false" outlineLevel="0" collapsed="false">
      <c r="A912" s="2"/>
      <c r="G912" s="2"/>
    </row>
    <row r="913" customFormat="false" ht="12.75" hidden="false" customHeight="false" outlineLevel="0" collapsed="false">
      <c r="A913" s="2"/>
      <c r="G913" s="2"/>
    </row>
    <row r="914" customFormat="false" ht="12.75" hidden="false" customHeight="false" outlineLevel="0" collapsed="false">
      <c r="A914" s="2"/>
      <c r="G914" s="2"/>
    </row>
    <row r="915" customFormat="false" ht="12.75" hidden="false" customHeight="false" outlineLevel="0" collapsed="false">
      <c r="A915" s="2"/>
      <c r="G915" s="2"/>
    </row>
    <row r="916" customFormat="false" ht="12.75" hidden="false" customHeight="false" outlineLevel="0" collapsed="false">
      <c r="A916" s="2"/>
      <c r="G916" s="2"/>
    </row>
    <row r="917" customFormat="false" ht="12.75" hidden="false" customHeight="false" outlineLevel="0" collapsed="false">
      <c r="A917" s="2"/>
      <c r="G917" s="2"/>
    </row>
    <row r="918" customFormat="false" ht="12.75" hidden="false" customHeight="false" outlineLevel="0" collapsed="false">
      <c r="A918" s="2"/>
      <c r="G918" s="2"/>
    </row>
    <row r="919" customFormat="false" ht="12.75" hidden="false" customHeight="false" outlineLevel="0" collapsed="false">
      <c r="A919" s="2"/>
      <c r="G919" s="2"/>
    </row>
    <row r="920" customFormat="false" ht="12.75" hidden="false" customHeight="false" outlineLevel="0" collapsed="false">
      <c r="A920" s="2"/>
      <c r="G920" s="2"/>
    </row>
    <row r="921" customFormat="false" ht="12.75" hidden="false" customHeight="false" outlineLevel="0" collapsed="false">
      <c r="A921" s="2"/>
      <c r="G921" s="2"/>
    </row>
    <row r="922" customFormat="false" ht="12.75" hidden="false" customHeight="false" outlineLevel="0" collapsed="false">
      <c r="A922" s="2"/>
      <c r="G922" s="2"/>
    </row>
    <row r="923" customFormat="false" ht="12.75" hidden="false" customHeight="false" outlineLevel="0" collapsed="false">
      <c r="A923" s="2"/>
      <c r="G923" s="2"/>
    </row>
    <row r="924" customFormat="false" ht="12.75" hidden="false" customHeight="false" outlineLevel="0" collapsed="false">
      <c r="A924" s="2"/>
      <c r="G924" s="2"/>
    </row>
    <row r="925" customFormat="false" ht="12.75" hidden="false" customHeight="false" outlineLevel="0" collapsed="false">
      <c r="A925" s="2"/>
      <c r="G925" s="2"/>
    </row>
    <row r="926" customFormat="false" ht="12.75" hidden="false" customHeight="false" outlineLevel="0" collapsed="false">
      <c r="A926" s="2"/>
      <c r="G926" s="2"/>
    </row>
    <row r="927" customFormat="false" ht="12.75" hidden="false" customHeight="false" outlineLevel="0" collapsed="false">
      <c r="A927" s="2"/>
      <c r="G927" s="2"/>
    </row>
    <row r="928" customFormat="false" ht="12.75" hidden="false" customHeight="false" outlineLevel="0" collapsed="false">
      <c r="A928" s="2"/>
      <c r="G928" s="2"/>
    </row>
    <row r="929" customFormat="false" ht="12.75" hidden="false" customHeight="false" outlineLevel="0" collapsed="false">
      <c r="A929" s="2"/>
      <c r="G929" s="2"/>
    </row>
    <row r="930" customFormat="false" ht="12.75" hidden="false" customHeight="false" outlineLevel="0" collapsed="false">
      <c r="A930" s="2"/>
      <c r="G930" s="2"/>
    </row>
    <row r="931" customFormat="false" ht="12.75" hidden="false" customHeight="false" outlineLevel="0" collapsed="false">
      <c r="A931" s="2"/>
      <c r="G931" s="2"/>
    </row>
    <row r="932" customFormat="false" ht="12.75" hidden="false" customHeight="false" outlineLevel="0" collapsed="false">
      <c r="A932" s="2"/>
      <c r="G932" s="2"/>
    </row>
    <row r="933" customFormat="false" ht="12.75" hidden="false" customHeight="false" outlineLevel="0" collapsed="false">
      <c r="A933" s="2"/>
      <c r="G933" s="2"/>
    </row>
    <row r="934" customFormat="false" ht="12.75" hidden="false" customHeight="false" outlineLevel="0" collapsed="false">
      <c r="A934" s="2"/>
      <c r="G934" s="2"/>
    </row>
    <row r="935" customFormat="false" ht="12.75" hidden="false" customHeight="false" outlineLevel="0" collapsed="false">
      <c r="A935" s="2"/>
      <c r="G935" s="2"/>
    </row>
    <row r="936" customFormat="false" ht="12.75" hidden="false" customHeight="false" outlineLevel="0" collapsed="false">
      <c r="A936" s="2"/>
      <c r="G936" s="2"/>
    </row>
    <row r="937" customFormat="false" ht="12.75" hidden="false" customHeight="false" outlineLevel="0" collapsed="false">
      <c r="A937" s="2"/>
      <c r="G937" s="2"/>
    </row>
    <row r="938" customFormat="false" ht="12.75" hidden="false" customHeight="false" outlineLevel="0" collapsed="false">
      <c r="A938" s="2"/>
      <c r="G938" s="2"/>
    </row>
    <row r="939" customFormat="false" ht="12.75" hidden="false" customHeight="false" outlineLevel="0" collapsed="false">
      <c r="A939" s="2"/>
      <c r="G939" s="2"/>
    </row>
    <row r="940" customFormat="false" ht="12.75" hidden="false" customHeight="false" outlineLevel="0" collapsed="false">
      <c r="A940" s="2"/>
      <c r="G940" s="2"/>
    </row>
    <row r="941" customFormat="false" ht="12.75" hidden="false" customHeight="false" outlineLevel="0" collapsed="false">
      <c r="A941" s="2"/>
      <c r="G941" s="2"/>
    </row>
    <row r="942" customFormat="false" ht="12.75" hidden="false" customHeight="false" outlineLevel="0" collapsed="false">
      <c r="A942" s="2"/>
      <c r="G942" s="2"/>
    </row>
    <row r="943" customFormat="false" ht="12.75" hidden="false" customHeight="false" outlineLevel="0" collapsed="false">
      <c r="A943" s="2"/>
      <c r="G943" s="2"/>
    </row>
    <row r="944" customFormat="false" ht="12.75" hidden="false" customHeight="false" outlineLevel="0" collapsed="false">
      <c r="A944" s="2"/>
      <c r="G944" s="2"/>
    </row>
    <row r="945" customFormat="false" ht="12.75" hidden="false" customHeight="false" outlineLevel="0" collapsed="false">
      <c r="A945" s="2"/>
      <c r="G945" s="2"/>
    </row>
    <row r="946" customFormat="false" ht="12.75" hidden="false" customHeight="false" outlineLevel="0" collapsed="false">
      <c r="A946" s="2"/>
      <c r="G946" s="2"/>
    </row>
    <row r="947" customFormat="false" ht="12.75" hidden="false" customHeight="false" outlineLevel="0" collapsed="false">
      <c r="A947" s="2"/>
      <c r="G947" s="2"/>
    </row>
    <row r="948" customFormat="false" ht="12.75" hidden="false" customHeight="false" outlineLevel="0" collapsed="false">
      <c r="A948" s="2"/>
      <c r="G948" s="2"/>
    </row>
    <row r="949" customFormat="false" ht="12.75" hidden="false" customHeight="false" outlineLevel="0" collapsed="false">
      <c r="A949" s="2"/>
      <c r="G949" s="2"/>
    </row>
    <row r="950" customFormat="false" ht="12.75" hidden="false" customHeight="false" outlineLevel="0" collapsed="false">
      <c r="A950" s="2"/>
      <c r="G950" s="2"/>
    </row>
    <row r="951" customFormat="false" ht="12.75" hidden="false" customHeight="false" outlineLevel="0" collapsed="false">
      <c r="A951" s="2"/>
      <c r="G951" s="2"/>
    </row>
    <row r="952" customFormat="false" ht="12.75" hidden="false" customHeight="false" outlineLevel="0" collapsed="false">
      <c r="A952" s="2"/>
      <c r="G952" s="2"/>
    </row>
    <row r="953" customFormat="false" ht="12.75" hidden="false" customHeight="false" outlineLevel="0" collapsed="false">
      <c r="A953" s="2"/>
      <c r="G953" s="2"/>
    </row>
    <row r="954" customFormat="false" ht="12.75" hidden="false" customHeight="false" outlineLevel="0" collapsed="false">
      <c r="A954" s="2"/>
      <c r="G954" s="2"/>
    </row>
    <row r="955" customFormat="false" ht="12.75" hidden="false" customHeight="false" outlineLevel="0" collapsed="false">
      <c r="A955" s="2"/>
      <c r="G955" s="2"/>
    </row>
    <row r="956" customFormat="false" ht="12.75" hidden="false" customHeight="false" outlineLevel="0" collapsed="false">
      <c r="A956" s="2"/>
      <c r="G956" s="2"/>
    </row>
    <row r="957" customFormat="false" ht="12.75" hidden="false" customHeight="false" outlineLevel="0" collapsed="false">
      <c r="A957" s="2"/>
      <c r="G957" s="2"/>
    </row>
    <row r="958" customFormat="false" ht="12.75" hidden="false" customHeight="false" outlineLevel="0" collapsed="false">
      <c r="A958" s="2"/>
      <c r="G958" s="2"/>
    </row>
    <row r="959" customFormat="false" ht="12.75" hidden="false" customHeight="false" outlineLevel="0" collapsed="false">
      <c r="A959" s="2"/>
      <c r="G959" s="2"/>
    </row>
    <row r="960" customFormat="false" ht="12.75" hidden="false" customHeight="false" outlineLevel="0" collapsed="false">
      <c r="A960" s="2"/>
      <c r="G960" s="2"/>
    </row>
    <row r="961" customFormat="false" ht="12.75" hidden="false" customHeight="false" outlineLevel="0" collapsed="false">
      <c r="A961" s="2"/>
      <c r="G961" s="2"/>
    </row>
    <row r="962" customFormat="false" ht="12.75" hidden="false" customHeight="false" outlineLevel="0" collapsed="false">
      <c r="A962" s="2"/>
      <c r="G962" s="2"/>
    </row>
    <row r="963" customFormat="false" ht="12.75" hidden="false" customHeight="false" outlineLevel="0" collapsed="false">
      <c r="A963" s="2"/>
      <c r="G963" s="2"/>
    </row>
    <row r="964" customFormat="false" ht="12.75" hidden="false" customHeight="false" outlineLevel="0" collapsed="false">
      <c r="A964" s="2"/>
      <c r="G964" s="2"/>
    </row>
    <row r="965" customFormat="false" ht="12.75" hidden="false" customHeight="false" outlineLevel="0" collapsed="false">
      <c r="A965" s="2"/>
      <c r="G965" s="2"/>
    </row>
    <row r="966" customFormat="false" ht="12.75" hidden="false" customHeight="false" outlineLevel="0" collapsed="false">
      <c r="A966" s="2"/>
      <c r="G966" s="2"/>
    </row>
    <row r="967" customFormat="false" ht="12.75" hidden="false" customHeight="false" outlineLevel="0" collapsed="false">
      <c r="A967" s="2"/>
      <c r="G967" s="2"/>
    </row>
    <row r="968" customFormat="false" ht="12.75" hidden="false" customHeight="false" outlineLevel="0" collapsed="false">
      <c r="A968" s="2"/>
      <c r="G968" s="2"/>
    </row>
    <row r="969" customFormat="false" ht="12.75" hidden="false" customHeight="false" outlineLevel="0" collapsed="false">
      <c r="A969" s="2"/>
      <c r="G969" s="2"/>
    </row>
    <row r="970" customFormat="false" ht="12.75" hidden="false" customHeight="false" outlineLevel="0" collapsed="false">
      <c r="A970" s="2"/>
      <c r="G970" s="2"/>
    </row>
    <row r="971" customFormat="false" ht="12.75" hidden="false" customHeight="false" outlineLevel="0" collapsed="false">
      <c r="A971" s="2"/>
      <c r="G971" s="2"/>
    </row>
    <row r="972" customFormat="false" ht="12.75" hidden="false" customHeight="false" outlineLevel="0" collapsed="false">
      <c r="A972" s="2"/>
      <c r="G972" s="2"/>
    </row>
    <row r="973" customFormat="false" ht="12.75" hidden="false" customHeight="false" outlineLevel="0" collapsed="false">
      <c r="A973" s="2"/>
      <c r="G973" s="2"/>
    </row>
    <row r="974" customFormat="false" ht="12.75" hidden="false" customHeight="false" outlineLevel="0" collapsed="false">
      <c r="A974" s="2"/>
      <c r="G974" s="2"/>
    </row>
    <row r="975" customFormat="false" ht="12.75" hidden="false" customHeight="false" outlineLevel="0" collapsed="false">
      <c r="A975" s="2"/>
      <c r="G975" s="2"/>
    </row>
    <row r="976" customFormat="false" ht="12.75" hidden="false" customHeight="false" outlineLevel="0" collapsed="false">
      <c r="A976" s="2"/>
      <c r="G976" s="2"/>
    </row>
    <row r="977" customFormat="false" ht="12.75" hidden="false" customHeight="false" outlineLevel="0" collapsed="false">
      <c r="A977" s="2"/>
      <c r="G977" s="2"/>
    </row>
    <row r="978" customFormat="false" ht="12.75" hidden="false" customHeight="false" outlineLevel="0" collapsed="false">
      <c r="A978" s="2"/>
      <c r="G978" s="2"/>
    </row>
    <row r="979" customFormat="false" ht="12.75" hidden="false" customHeight="false" outlineLevel="0" collapsed="false">
      <c r="A979" s="2"/>
      <c r="G979" s="2"/>
    </row>
    <row r="980" customFormat="false" ht="12.75" hidden="false" customHeight="false" outlineLevel="0" collapsed="false">
      <c r="A980" s="2"/>
      <c r="G980" s="2"/>
    </row>
    <row r="981" customFormat="false" ht="12.75" hidden="false" customHeight="false" outlineLevel="0" collapsed="false">
      <c r="A981" s="2"/>
      <c r="G981" s="2"/>
    </row>
    <row r="982" customFormat="false" ht="12.75" hidden="false" customHeight="false" outlineLevel="0" collapsed="false">
      <c r="A982" s="2"/>
      <c r="G982" s="2"/>
    </row>
    <row r="983" customFormat="false" ht="12.75" hidden="false" customHeight="false" outlineLevel="0" collapsed="false">
      <c r="A983" s="2"/>
      <c r="G983" s="2"/>
    </row>
    <row r="984" customFormat="false" ht="12.75" hidden="false" customHeight="false" outlineLevel="0" collapsed="false">
      <c r="A984" s="2"/>
      <c r="G984" s="2"/>
    </row>
    <row r="985" customFormat="false" ht="12.75" hidden="false" customHeight="false" outlineLevel="0" collapsed="false">
      <c r="A985" s="2"/>
      <c r="G985" s="2"/>
    </row>
    <row r="986" customFormat="false" ht="12.75" hidden="false" customHeight="false" outlineLevel="0" collapsed="false">
      <c r="A986" s="2"/>
      <c r="G986" s="2"/>
    </row>
    <row r="987" customFormat="false" ht="12.75" hidden="false" customHeight="false" outlineLevel="0" collapsed="false">
      <c r="A987" s="2"/>
      <c r="G987" s="2"/>
    </row>
    <row r="988" customFormat="false" ht="12.75" hidden="false" customHeight="false" outlineLevel="0" collapsed="false">
      <c r="A988" s="2"/>
      <c r="G988" s="2"/>
    </row>
    <row r="989" customFormat="false" ht="12.75" hidden="false" customHeight="false" outlineLevel="0" collapsed="false">
      <c r="A989" s="2"/>
      <c r="G989" s="2"/>
    </row>
    <row r="990" customFormat="false" ht="12.75" hidden="false" customHeight="false" outlineLevel="0" collapsed="false">
      <c r="A990" s="2"/>
      <c r="G990" s="2"/>
    </row>
    <row r="991" customFormat="false" ht="12.75" hidden="false" customHeight="false" outlineLevel="0" collapsed="false">
      <c r="A991" s="2"/>
      <c r="G991" s="2"/>
    </row>
    <row r="992" customFormat="false" ht="12.75" hidden="false" customHeight="false" outlineLevel="0" collapsed="false">
      <c r="A992" s="2"/>
      <c r="G992" s="2"/>
    </row>
    <row r="993" customFormat="false" ht="12.75" hidden="false" customHeight="false" outlineLevel="0" collapsed="false">
      <c r="A993" s="2"/>
      <c r="G993" s="2"/>
    </row>
    <row r="994" customFormat="false" ht="12.75" hidden="false" customHeight="false" outlineLevel="0" collapsed="false">
      <c r="A994" s="2"/>
      <c r="G994" s="2"/>
    </row>
    <row r="995" customFormat="false" ht="12.75" hidden="false" customHeight="false" outlineLevel="0" collapsed="false">
      <c r="A995" s="2"/>
      <c r="G995" s="2"/>
    </row>
    <row r="996" customFormat="false" ht="12.75" hidden="false" customHeight="false" outlineLevel="0" collapsed="false">
      <c r="A996" s="2"/>
      <c r="G996" s="2"/>
    </row>
    <row r="997" customFormat="false" ht="12.75" hidden="false" customHeight="false" outlineLevel="0" collapsed="false">
      <c r="A997" s="2"/>
      <c r="G997" s="2"/>
    </row>
    <row r="998" customFormat="false" ht="12.75" hidden="false" customHeight="false" outlineLevel="0" collapsed="false">
      <c r="A998" s="2"/>
      <c r="G998" s="2"/>
    </row>
    <row r="999" customFormat="false" ht="12.75" hidden="false" customHeight="false" outlineLevel="0" collapsed="false">
      <c r="A999" s="2"/>
      <c r="G999" s="2"/>
    </row>
    <row r="1000" customFormat="false" ht="12.75" hidden="false" customHeight="false" outlineLevel="0" collapsed="false">
      <c r="A1000" s="2"/>
      <c r="G1000" s="2"/>
    </row>
    <row r="1001" customFormat="false" ht="12.75" hidden="false" customHeight="false" outlineLevel="0" collapsed="false">
      <c r="A1001" s="2"/>
      <c r="G1001" s="2"/>
    </row>
    <row r="1002" customFormat="false" ht="12.75" hidden="false" customHeight="false" outlineLevel="0" collapsed="false">
      <c r="A1002" s="2"/>
      <c r="G1002" s="2"/>
    </row>
    <row r="1003" customFormat="false" ht="12.75" hidden="false" customHeight="false" outlineLevel="0" collapsed="false">
      <c r="A1003" s="2"/>
      <c r="G1003" s="2"/>
    </row>
    <row r="1004" customFormat="false" ht="12.75" hidden="false" customHeight="false" outlineLevel="0" collapsed="false">
      <c r="A1004" s="2"/>
      <c r="G1004" s="2"/>
    </row>
    <row r="1005" customFormat="false" ht="12.75" hidden="false" customHeight="false" outlineLevel="0" collapsed="false">
      <c r="A1005" s="2"/>
      <c r="G1005" s="2"/>
    </row>
    <row r="1006" customFormat="false" ht="12.75" hidden="false" customHeight="false" outlineLevel="0" collapsed="false">
      <c r="A1006" s="2"/>
      <c r="G1006" s="2"/>
    </row>
    <row r="1007" customFormat="false" ht="12.75" hidden="false" customHeight="false" outlineLevel="0" collapsed="false">
      <c r="A1007" s="2"/>
      <c r="G1007" s="2"/>
    </row>
    <row r="1008" customFormat="false" ht="12.75" hidden="false" customHeight="false" outlineLevel="0" collapsed="false">
      <c r="A1008" s="2"/>
      <c r="G1008" s="2"/>
    </row>
    <row r="1009" customFormat="false" ht="12.75" hidden="false" customHeight="false" outlineLevel="0" collapsed="false">
      <c r="A1009" s="2"/>
      <c r="G1009" s="2"/>
    </row>
    <row r="1010" customFormat="false" ht="12.75" hidden="false" customHeight="false" outlineLevel="0" collapsed="false">
      <c r="A1010" s="2"/>
      <c r="G1010" s="2"/>
    </row>
    <row r="1011" customFormat="false" ht="12.75" hidden="false" customHeight="false" outlineLevel="0" collapsed="false">
      <c r="A1011" s="2"/>
      <c r="G1011" s="2"/>
    </row>
    <row r="1012" customFormat="false" ht="12.75" hidden="false" customHeight="false" outlineLevel="0" collapsed="false">
      <c r="A1012" s="2"/>
      <c r="G1012" s="2"/>
    </row>
    <row r="1013" customFormat="false" ht="12.75" hidden="false" customHeight="false" outlineLevel="0" collapsed="false">
      <c r="A1013" s="2"/>
      <c r="G1013" s="2"/>
    </row>
    <row r="1014" customFormat="false" ht="12.75" hidden="false" customHeight="false" outlineLevel="0" collapsed="false">
      <c r="A1014" s="2"/>
      <c r="G1014" s="2"/>
    </row>
    <row r="1015" customFormat="false" ht="12.75" hidden="false" customHeight="false" outlineLevel="0" collapsed="false">
      <c r="A1015" s="2"/>
      <c r="G1015" s="2"/>
    </row>
    <row r="1016" customFormat="false" ht="12.75" hidden="false" customHeight="false" outlineLevel="0" collapsed="false">
      <c r="A1016" s="2"/>
      <c r="G1016" s="2"/>
    </row>
    <row r="1017" customFormat="false" ht="12.75" hidden="false" customHeight="false" outlineLevel="0" collapsed="false">
      <c r="A1017" s="2"/>
      <c r="G1017" s="2"/>
    </row>
    <row r="1018" customFormat="false" ht="12.75" hidden="false" customHeight="false" outlineLevel="0" collapsed="false">
      <c r="A1018" s="2"/>
      <c r="G1018" s="2"/>
    </row>
    <row r="1019" customFormat="false" ht="12.75" hidden="false" customHeight="false" outlineLevel="0" collapsed="false">
      <c r="A1019" s="2"/>
      <c r="G1019" s="2"/>
    </row>
    <row r="1020" customFormat="false" ht="12.75" hidden="false" customHeight="false" outlineLevel="0" collapsed="false">
      <c r="A1020" s="2"/>
      <c r="G1020" s="2"/>
    </row>
    <row r="1021" customFormat="false" ht="12.75" hidden="false" customHeight="false" outlineLevel="0" collapsed="false">
      <c r="A1021" s="2"/>
      <c r="G10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EasyOffice/7.6.2.1.0$Windows_X86_64 LibreOffice_project/0bc4d647150f05f02b71ccb5539a4012b57f1faf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2025-02-26T14:46:10Z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