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" sheetId="1" r:id="rId5"/>
  </sheets>
  <definedNames/>
  <calcPr/>
</workbook>
</file>

<file path=xl/sharedStrings.xml><?xml version="1.0" encoding="utf-8"?>
<sst xmlns="http://schemas.openxmlformats.org/spreadsheetml/2006/main" count="35" uniqueCount="31">
  <si>
    <t>Fundamental Analysis of AXIS BANK Ltd. as of March 2024</t>
  </si>
  <si>
    <r>
      <rPr/>
      <t xml:space="preserve">Sources: </t>
    </r>
    <r>
      <rPr>
        <color rgb="FF1155CC"/>
        <u/>
      </rPr>
      <t xml:space="preserve">Annual Report Axis Bank </t>
    </r>
    <r>
      <rPr/>
      <t xml:space="preserve">, </t>
    </r>
    <r>
      <rPr>
        <color rgb="FF1155CC"/>
        <u/>
      </rPr>
      <t>Annual Return Axis Bank</t>
    </r>
  </si>
  <si>
    <t>Inputs</t>
  </si>
  <si>
    <t>Value</t>
  </si>
  <si>
    <t>Market Price Per Share (MPS) in INR</t>
  </si>
  <si>
    <t>Earnings Per Share (EPS) in INR</t>
  </si>
  <si>
    <t>Retention Ratio</t>
  </si>
  <si>
    <t>Return on Equity</t>
  </si>
  <si>
    <t xml:space="preserve">Book value per share </t>
  </si>
  <si>
    <t xml:space="preserve">Growth Rate </t>
  </si>
  <si>
    <t>Number of Outstanding Shares</t>
  </si>
  <si>
    <t xml:space="preserve">Discount Rate (WACC): </t>
  </si>
  <si>
    <t>Terminal Growth Rate</t>
  </si>
  <si>
    <t>Ratios</t>
  </si>
  <si>
    <t>Actual</t>
  </si>
  <si>
    <t>Industry Ratio (Private Banking Industry)</t>
  </si>
  <si>
    <t>Estimated Price in INR</t>
  </si>
  <si>
    <t>Remark</t>
  </si>
  <si>
    <t>PE ratio</t>
  </si>
  <si>
    <t>Underpriced</t>
  </si>
  <si>
    <t>PEG ratio</t>
  </si>
  <si>
    <t>Market to Book Value of Equity</t>
  </si>
  <si>
    <t>Discounted Cash Flow Method</t>
  </si>
  <si>
    <t>Year</t>
  </si>
  <si>
    <t>Forecasted FCF (in INR Crores)</t>
  </si>
  <si>
    <t>Discounted FCF (in INR Crores)</t>
  </si>
  <si>
    <t>Terminal Value</t>
  </si>
  <si>
    <t xml:space="preserve">Firm Instrinsic Value from DCF = </t>
  </si>
  <si>
    <t>Intrinsic Value per Share =</t>
  </si>
  <si>
    <t xml:space="preserve">Conclusion </t>
  </si>
  <si>
    <t>Fundamental analysis through PE ratio, PEG ratio, Market to Book Value of Equity and DCF method converge to the conclusion that AXIS Bank as of March 2024 was underpriced.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</si>
</sst>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sz val="12.0"/>
      <color theme="1"/>
      <name val="FkGroteskNeue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3" numFmtId="0" xfId="0" applyBorder="1" applyFont="1"/>
    <xf borderId="3" fillId="0" fontId="3" numFmtId="3" xfId="0" applyAlignment="1" applyBorder="1" applyFont="1" applyNumberFormat="1">
      <alignment readingOrder="0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xisbank.com/annual-reports/2023-2024/pdf/annual-report-for-the-year-2023-2024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4.88"/>
    <col customWidth="1" min="3" max="3" width="31.25"/>
    <col customWidth="1" min="4" max="4" width="18.63"/>
    <col customWidth="1" min="5" max="5" width="25.25"/>
  </cols>
  <sheetData>
    <row r="1">
      <c r="A1" s="1" t="s">
        <v>0</v>
      </c>
      <c r="B1" s="2"/>
      <c r="C1" s="3"/>
    </row>
    <row r="2">
      <c r="A2" s="4" t="s">
        <v>1</v>
      </c>
      <c r="B2" s="2"/>
    </row>
    <row r="3">
      <c r="A3" s="5"/>
      <c r="B3" s="5"/>
    </row>
    <row r="4">
      <c r="A4" s="6" t="s">
        <v>2</v>
      </c>
      <c r="B4" s="7" t="s">
        <v>3</v>
      </c>
    </row>
    <row r="5">
      <c r="A5" s="6" t="s">
        <v>4</v>
      </c>
      <c r="B5" s="7">
        <v>1047.2</v>
      </c>
      <c r="C5" s="3"/>
    </row>
    <row r="6">
      <c r="A6" s="6" t="s">
        <v>5</v>
      </c>
      <c r="B6" s="6">
        <v>80.67</v>
      </c>
      <c r="C6" s="3"/>
    </row>
    <row r="7">
      <c r="A7" s="6" t="s">
        <v>6</v>
      </c>
      <c r="B7" s="6">
        <v>0.988</v>
      </c>
      <c r="C7" s="3"/>
    </row>
    <row r="8">
      <c r="A8" s="6" t="s">
        <v>7</v>
      </c>
      <c r="B8" s="6">
        <v>0.186</v>
      </c>
      <c r="C8" s="3"/>
    </row>
    <row r="9">
      <c r="A9" s="6" t="s">
        <v>8</v>
      </c>
      <c r="B9" s="6">
        <v>486.74</v>
      </c>
      <c r="C9" s="3"/>
    </row>
    <row r="10">
      <c r="A10" s="6" t="s">
        <v>9</v>
      </c>
      <c r="B10" s="6">
        <f>B7*B8</f>
        <v>0.183768</v>
      </c>
      <c r="C10" s="3"/>
    </row>
    <row r="11">
      <c r="A11" s="6" t="s">
        <v>10</v>
      </c>
      <c r="B11" s="6">
        <v>3.086570375E9</v>
      </c>
      <c r="C11" s="3"/>
    </row>
    <row r="12">
      <c r="A12" s="6" t="s">
        <v>11</v>
      </c>
      <c r="B12" s="6">
        <v>0.1729</v>
      </c>
      <c r="C12" s="3"/>
    </row>
    <row r="13">
      <c r="A13" s="6" t="s">
        <v>12</v>
      </c>
      <c r="B13" s="6">
        <v>0.05</v>
      </c>
      <c r="C13" s="3"/>
    </row>
    <row r="14">
      <c r="A14" s="8"/>
      <c r="B14" s="3"/>
      <c r="C14" s="3"/>
    </row>
    <row r="15">
      <c r="A15" s="6" t="s">
        <v>13</v>
      </c>
      <c r="B15" s="6" t="s">
        <v>14</v>
      </c>
      <c r="C15" s="6" t="s">
        <v>15</v>
      </c>
      <c r="D15" s="6" t="s">
        <v>16</v>
      </c>
      <c r="E15" s="9" t="s">
        <v>17</v>
      </c>
    </row>
    <row r="16">
      <c r="A16" s="6" t="s">
        <v>18</v>
      </c>
      <c r="B16" s="6">
        <f>B5/B6</f>
        <v>12.98128177</v>
      </c>
      <c r="C16" s="6">
        <v>16.64</v>
      </c>
      <c r="D16" s="10">
        <f>B6*C16</f>
        <v>1342.3488</v>
      </c>
      <c r="E16" s="9" t="s">
        <v>19</v>
      </c>
    </row>
    <row r="17">
      <c r="A17" s="6" t="s">
        <v>20</v>
      </c>
      <c r="B17" s="6">
        <f>B16/(B10*100)</f>
        <v>0.7063951159</v>
      </c>
      <c r="C17" s="6">
        <v>1.0</v>
      </c>
      <c r="D17" s="10">
        <f>C17*B10*B6*100</f>
        <v>1482.456456</v>
      </c>
      <c r="E17" s="9" t="s">
        <v>19</v>
      </c>
    </row>
    <row r="18">
      <c r="A18" s="6" t="s">
        <v>21</v>
      </c>
      <c r="B18" s="6">
        <f>B5/B9</f>
        <v>2.15145663</v>
      </c>
      <c r="C18" s="6">
        <v>2.28</v>
      </c>
      <c r="D18" s="10">
        <f>C18*B9</f>
        <v>1109.7672</v>
      </c>
      <c r="E18" s="9" t="s">
        <v>19</v>
      </c>
    </row>
    <row r="19">
      <c r="B19" s="3"/>
      <c r="C19" s="3"/>
    </row>
    <row r="20">
      <c r="A20" s="6" t="s">
        <v>22</v>
      </c>
      <c r="B20" s="10"/>
      <c r="C20" s="6"/>
    </row>
    <row r="21">
      <c r="A21" s="6" t="s">
        <v>23</v>
      </c>
      <c r="B21" s="6" t="s">
        <v>24</v>
      </c>
      <c r="C21" s="6" t="s">
        <v>25</v>
      </c>
    </row>
    <row r="22">
      <c r="A22" s="6">
        <v>1.0</v>
      </c>
      <c r="B22" s="11">
        <v>28000.0</v>
      </c>
      <c r="C22" s="10">
        <f t="shared" ref="C22:C26" si="1">B22/((1+$B$12)^A22)</f>
        <v>23872.45289</v>
      </c>
    </row>
    <row r="23">
      <c r="A23" s="6">
        <v>2.0</v>
      </c>
      <c r="B23" s="11">
        <v>31000.0</v>
      </c>
      <c r="C23" s="10">
        <f t="shared" si="1"/>
        <v>22534.07426</v>
      </c>
    </row>
    <row r="24">
      <c r="A24" s="6">
        <v>3.0</v>
      </c>
      <c r="B24" s="11">
        <v>34000.0</v>
      </c>
      <c r="C24" s="10">
        <f t="shared" si="1"/>
        <v>21071.52454</v>
      </c>
    </row>
    <row r="25">
      <c r="A25" s="6">
        <v>4.0</v>
      </c>
      <c r="B25" s="11">
        <v>37000.0</v>
      </c>
      <c r="C25" s="10">
        <f t="shared" si="1"/>
        <v>19550.49595</v>
      </c>
    </row>
    <row r="26">
      <c r="A26" s="6">
        <v>5.0</v>
      </c>
      <c r="B26" s="11">
        <v>40000.0</v>
      </c>
      <c r="C26" s="10">
        <f t="shared" si="1"/>
        <v>18020.01134</v>
      </c>
    </row>
    <row r="27">
      <c r="A27" s="6" t="s">
        <v>26</v>
      </c>
      <c r="B27" s="10">
        <f>B26*(1+B13)/(B12-B13)</f>
        <v>341741.2531</v>
      </c>
      <c r="C27" s="10"/>
    </row>
    <row r="28">
      <c r="A28" s="6">
        <v>5.0</v>
      </c>
      <c r="B28" s="10">
        <f>B27</f>
        <v>341741.2531</v>
      </c>
      <c r="C28" s="10">
        <f>B28/((1+$B$12)^A28)</f>
        <v>153954.5314</v>
      </c>
    </row>
    <row r="29">
      <c r="A29" s="10"/>
      <c r="B29" s="6" t="s">
        <v>27</v>
      </c>
      <c r="C29" s="10">
        <f>SUM(C22:C28)</f>
        <v>259003.0904</v>
      </c>
      <c r="D29" s="9" t="s">
        <v>17</v>
      </c>
    </row>
    <row r="30">
      <c r="A30" s="10"/>
      <c r="B30" s="6" t="s">
        <v>28</v>
      </c>
      <c r="C30" s="10">
        <f>C29*10000000/B11</f>
        <v>839.129062</v>
      </c>
      <c r="D30" s="9" t="s">
        <v>19</v>
      </c>
    </row>
    <row r="33">
      <c r="A33" s="9" t="s">
        <v>29</v>
      </c>
      <c r="B33" s="1" t="s">
        <v>30</v>
      </c>
      <c r="C33" s="12"/>
      <c r="D33" s="12"/>
      <c r="E33" s="12"/>
      <c r="F33" s="12"/>
      <c r="G33" s="12"/>
      <c r="H33" s="12"/>
      <c r="I33" s="2"/>
    </row>
  </sheetData>
  <mergeCells count="3">
    <mergeCell ref="A1:B1"/>
    <mergeCell ref="A2:B2"/>
    <mergeCell ref="B33:I33"/>
  </mergeCells>
  <hyperlinks>
    <hyperlink r:id="rId1" ref="A2"/>
  </hyperlinks>
  <drawing r:id="rId2"/>
</worksheet>
</file>